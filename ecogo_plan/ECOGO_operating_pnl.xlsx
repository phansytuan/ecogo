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Model" sheetId="1" state="visible" r:id="rId3"/>
    <sheet name="Assumption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<sst xmlns="http://schemas.openxmlformats.org/spreadsheetml/2006/main" count="109" uniqueCount="98">
  <si>
    <t xml:space="preserve">ECOGO — Monthly Operating P&amp;L &amp; Break-even</t>
  </si>
  <si>
    <t xml:space="preserve">Full operating view: revenue vs. tech + acquisition + staffing + overhead. This is the real go/no-go picture.</t>
  </si>
  <si>
    <t xml:space="preserve">Line (per month)</t>
  </si>
  <si>
    <t xml:space="preserve">Pilot</t>
  </si>
  <si>
    <t xml:space="preserve">Growth</t>
  </si>
  <si>
    <t xml:space="preserve">Scale</t>
  </si>
  <si>
    <t xml:space="preserve">Trips / month</t>
  </si>
  <si>
    <t xml:space="preserve">REVENUE</t>
  </si>
  <si>
    <t xml:space="preserve">Platform fee revenue</t>
  </si>
  <si>
    <t xml:space="preserve">VARIABLE COST</t>
  </si>
  <si>
    <t xml:space="preserve">Technology (cloud + API)</t>
  </si>
  <si>
    <t xml:space="preserve">Affiliate payout (5% / 3yr)</t>
  </si>
  <si>
    <t xml:space="preserve">Marketing / incentives</t>
  </si>
  <si>
    <t xml:space="preserve">Driver CAC (amortised)</t>
  </si>
  <si>
    <t xml:space="preserve">Variable subtotal</t>
  </si>
  <si>
    <t xml:space="preserve">Contribution margin</t>
  </si>
  <si>
    <t xml:space="preserve">Contribution per trip</t>
  </si>
  <si>
    <t xml:space="preserve">FIXED COST</t>
  </si>
  <si>
    <t xml:space="preserve">Dispatchers needed (count)</t>
  </si>
  <si>
    <t xml:space="preserve">Dispatcher cost</t>
  </si>
  <si>
    <t xml:space="preserve">Support agents needed (count)</t>
  </si>
  <si>
    <t xml:space="preserve">Support cost</t>
  </si>
  <si>
    <t xml:space="preserve">Overhead</t>
  </si>
  <si>
    <t xml:space="preserve">Brandname upkeep</t>
  </si>
  <si>
    <t xml:space="preserve">Fixed subtotal</t>
  </si>
  <si>
    <t xml:space="preserve">RESULT</t>
  </si>
  <si>
    <t xml:space="preserve">Operating profit / (loss) — VND</t>
  </si>
  <si>
    <t xml:space="preserve">Operating profit / (loss) — USD</t>
  </si>
  <si>
    <t xml:space="preserve">Operating margin</t>
  </si>
  <si>
    <t xml:space="preserve">Break-even trips / month*</t>
  </si>
  <si>
    <t xml:space="preserve">ECOGO — Operational P&amp;L Assumptions</t>
  </si>
  <si>
    <t xml:space="preserve">Blue = editable input. Salary/CAC figures are planning placeholders — replace with your real numbers.</t>
  </si>
  <si>
    <t xml:space="preserve">Avg fare / booking</t>
  </si>
  <si>
    <t xml:space="preserve">VND</t>
  </si>
  <si>
    <t xml:space="preserve">Corridor dependent</t>
  </si>
  <si>
    <t xml:space="preserve">Platform fee</t>
  </si>
  <si>
    <t xml:space="preserve">% of fare</t>
  </si>
  <si>
    <t xml:space="preserve">10% taken from driver</t>
  </si>
  <si>
    <t xml:space="preserve">VARIABLE PER TRIP</t>
  </si>
  <si>
    <t xml:space="preserve">Technology cost / trip</t>
  </si>
  <si>
    <t xml:space="preserve">From the cloud + API cost model (Growth tier)</t>
  </si>
  <si>
    <t xml:space="preserve">Auto-match rate</t>
  </si>
  <si>
    <t xml:space="preserve">fraction</t>
  </si>
  <si>
    <t xml:space="preserve">Share matched without a dispatcher</t>
  </si>
  <si>
    <t xml:space="preserve">Referred-trip share</t>
  </si>
  <si>
    <t xml:space="preserve">Share paying the 3-yr affiliate</t>
  </si>
  <si>
    <t xml:space="preserve">Affiliate rate</t>
  </si>
  <si>
    <t xml:space="preserve">5% to referring driver</t>
  </si>
  <si>
    <t xml:space="preserve">Marketing / incentive per trip</t>
  </si>
  <si>
    <t xml:space="preserve">Promos, passenger acquisition</t>
  </si>
  <si>
    <t xml:space="preserve">DRIVER ACQUISITION</t>
  </si>
  <si>
    <t xml:space="preserve">CAC per driver</t>
  </si>
  <si>
    <t xml:space="preserve">Cost to onboard one driver</t>
  </si>
  <si>
    <t xml:space="preserve">Trips per driver / month</t>
  </si>
  <si>
    <t xml:space="preserve">trips</t>
  </si>
  <si>
    <t xml:space="preserve">Activity level</t>
  </si>
  <si>
    <t xml:space="preserve">Driver lifetime</t>
  </si>
  <si>
    <t xml:space="preserve">months</t>
  </si>
  <si>
    <t xml:space="preserve">Before churn</t>
  </si>
  <si>
    <t xml:space="preserve">STAFFING &amp; FIXED (VND / month)</t>
  </si>
  <si>
    <t xml:space="preserve">Dispatcher salary</t>
  </si>
  <si>
    <t xml:space="preserve">VND/mo</t>
  </si>
  <si>
    <t xml:space="preserve">Loaded monthly cost per dispatcher</t>
  </si>
  <si>
    <t xml:space="preserve">Dispatch capacity</t>
  </si>
  <si>
    <t xml:space="preserve">trips/mo</t>
  </si>
  <si>
    <t xml:space="preserve">Dispatch-handled trips per dispatcher</t>
  </si>
  <si>
    <t xml:space="preserve">Min dispatchers</t>
  </si>
  <si>
    <t xml:space="preserve">people</t>
  </si>
  <si>
    <t xml:space="preserve">Floor during operating hours</t>
  </si>
  <si>
    <t xml:space="preserve">Support salary</t>
  </si>
  <si>
    <t xml:space="preserve">Loaded monthly cost per agent</t>
  </si>
  <si>
    <t xml:space="preserve">Trips per support agent</t>
  </si>
  <si>
    <t xml:space="preserve">Capacity per agent</t>
  </si>
  <si>
    <t xml:space="preserve">Overhead (office/admin/tools)</t>
  </si>
  <si>
    <t xml:space="preserve">Fixed regardless of volume</t>
  </si>
  <si>
    <t xml:space="preserve">SMS brandname carriers</t>
  </si>
  <si>
    <t xml:space="preserve">FX</t>
  </si>
  <si>
    <t xml:space="preserve">FX rate</t>
  </si>
  <si>
    <t xml:space="preserve">VND/USD</t>
  </si>
  <si>
    <t xml:space="preserve">Approx mid-2026</t>
  </si>
  <si>
    <t xml:space="preserve">How to read this model</t>
  </si>
  <si>
    <t xml:space="preserve">This sits on top of the cloud + API cost model and adds the real cost centres that decide profitability.</t>
  </si>
  <si>
    <t xml:space="preserve">The shape of the business:</t>
  </si>
  <si>
    <t xml:space="preserve">  - At Pilot volume it loses money by design — fixed staffing (a dispatcher must be on shift) and acquisition</t>
  </si>
  <si>
    <t xml:space="preserve">    spend dwarf 100 trips of revenue. That is supply/demand seeding, not a broken model.</t>
  </si>
  <si>
    <t xml:space="preserve">  - Break-even sits in the low thousands of trips/month: fixed monthly cost divided by contribution per trip.</t>
  </si>
  <si>
    <t xml:space="preserve">  - At Scale it turns a healthy operating profit. The leverage is dispatch automation (a higher auto-match rate</t>
  </si>
  <si>
    <t xml:space="preserve">    means fewer dispatchers per 1,000 trips) and fare/fee.</t>
  </si>
  <si>
    <t xml:space="preserve">The three levers that move profitability most:</t>
  </si>
  <si>
    <t xml:space="preserve">  1. Auto-match rate (Assumptions B10). Every point of automation reduces dispatcher headcount — the largest</t>
  </si>
  <si>
    <t xml:space="preserve">     fixed cost. Investing in matching quality pays back directly here.</t>
  </si>
  <si>
    <t xml:space="preserve">  2. Average fare and fee (B5, B6). Contribution per trip scales linearly with both.</t>
  </si>
  <si>
    <t xml:space="preserve">  3. Driver CAC and lifetime (B16-B18). The 5%/3-year affiliate is the cheap acquisition channel the brief</t>
  </si>
  <si>
    <t xml:space="preserve">     designed in; if it works, CAC drops and the variable line shrinks.</t>
  </si>
  <si>
    <t xml:space="preserve">*Break-even trips is computed against each scenario's fixed cost. Because staffing steps up with volume, treat</t>
  </si>
  <si>
    <t xml:space="preserve"> it as an approximation, not a single fixed point — read it together with the operating profit row.</t>
  </si>
  <si>
    <t xml:space="preserve">Excluded: capital costs, taxes, payment-processing fees (cash-settled in MVP), and the full multi-year affiliate</t>
  </si>
  <si>
    <t xml:space="preserve"> liability (model that in a dedicated finance model). All inputs are placeholders — replace with real figures.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</si>
</sst>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"/>
    <numFmt numFmtId="167" formatCode="\$#,##0;&quot;($&quot;#,##0\)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59595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s">
        <v>6</v>
      </c>
      <c r="B4" s="6" t="n">
        <v>100</v>
      </c>
      <c r="C4" s="6" t="n">
        <v>1000</v>
      </c>
      <c r="D4" s="6" t="n">
        <v>10000</v>
      </c>
    </row>
    <row r="5" customFormat="false" ht="15" hidden="false" customHeight="false" outlineLevel="0" collapsed="false">
      <c r="A5" s="7" t="s">
        <v>7</v>
      </c>
      <c r="B5" s="8"/>
      <c r="C5" s="8"/>
      <c r="D5" s="8"/>
    </row>
    <row r="6" customFormat="false" ht="15" hidden="false" customHeight="false" outlineLevel="0" collapsed="false">
      <c r="A6" s="9" t="s">
        <v>8</v>
      </c>
      <c r="B6" s="10" t="n">
        <f aca="false">B4*Assumptions!$B$5*Assumptions!$B$6</f>
        <v>2000000</v>
      </c>
      <c r="C6" s="10" t="n">
        <f aca="false">C4*Assumptions!$B$5*Assumptions!$B$6</f>
        <v>20000000</v>
      </c>
      <c r="D6" s="10" t="n">
        <f aca="false">D4*Assumptions!$B$5*Assumptions!$B$6</f>
        <v>200000000</v>
      </c>
    </row>
    <row r="7" customFormat="false" ht="15" hidden="false" customHeight="false" outlineLevel="0" collapsed="false">
      <c r="A7" s="7" t="s">
        <v>9</v>
      </c>
      <c r="B7" s="8"/>
      <c r="C7" s="8"/>
      <c r="D7" s="8"/>
    </row>
    <row r="8" customFormat="false" ht="15" hidden="false" customHeight="false" outlineLevel="0" collapsed="false">
      <c r="A8" s="9" t="s">
        <v>10</v>
      </c>
      <c r="B8" s="10" t="n">
        <f aca="false">B4*Assumptions!$B$9</f>
        <v>200000</v>
      </c>
      <c r="C8" s="10" t="n">
        <f aca="false">C4*Assumptions!$B$9</f>
        <v>2000000</v>
      </c>
      <c r="D8" s="10" t="n">
        <f aca="false">D4*Assumptions!$B$9</f>
        <v>20000000</v>
      </c>
    </row>
    <row r="9" customFormat="false" ht="15" hidden="false" customHeight="false" outlineLevel="0" collapsed="false">
      <c r="A9" s="9" t="s">
        <v>11</v>
      </c>
      <c r="B9" s="10" t="n">
        <f aca="false">B4*Assumptions!$B$11*Assumptions!$B$5*Assumptions!$B$12</f>
        <v>150000</v>
      </c>
      <c r="C9" s="10" t="n">
        <f aca="false">C4*Assumptions!$B$11*Assumptions!$B$5*Assumptions!$B$12</f>
        <v>1500000</v>
      </c>
      <c r="D9" s="10" t="n">
        <f aca="false">D4*Assumptions!$B$11*Assumptions!$B$5*Assumptions!$B$12</f>
        <v>15000000</v>
      </c>
    </row>
    <row r="10" customFormat="false" ht="15" hidden="false" customHeight="false" outlineLevel="0" collapsed="false">
      <c r="A10" s="9" t="s">
        <v>12</v>
      </c>
      <c r="B10" s="10" t="n">
        <f aca="false">B4*Assumptions!$B$13</f>
        <v>500000</v>
      </c>
      <c r="C10" s="10" t="n">
        <f aca="false">C4*Assumptions!$B$13</f>
        <v>5000000</v>
      </c>
      <c r="D10" s="10" t="n">
        <f aca="false">D4*Assumptions!$B$13</f>
        <v>50000000</v>
      </c>
    </row>
    <row r="11" customFormat="false" ht="15" hidden="false" customHeight="false" outlineLevel="0" collapsed="false">
      <c r="A11" s="9" t="s">
        <v>13</v>
      </c>
      <c r="B11" s="10" t="n">
        <f aca="false">B4*(Assumptions!$B$16/(Assumptions!$B$17*Assumptions!$B$18))</f>
        <v>125000</v>
      </c>
      <c r="C11" s="10" t="n">
        <f aca="false">C4*(Assumptions!$B$16/(Assumptions!$B$17*Assumptions!$B$18))</f>
        <v>1250000</v>
      </c>
      <c r="D11" s="10" t="n">
        <f aca="false">D4*(Assumptions!$B$16/(Assumptions!$B$17*Assumptions!$B$18))</f>
        <v>12500000</v>
      </c>
    </row>
    <row r="12" customFormat="false" ht="15" hidden="false" customHeight="false" outlineLevel="0" collapsed="false">
      <c r="A12" s="9" t="s">
        <v>14</v>
      </c>
      <c r="B12" s="11" t="n">
        <f aca="false">SUM(B8:B11)</f>
        <v>975000</v>
      </c>
      <c r="C12" s="11" t="n">
        <f aca="false">SUM(C8:C11)</f>
        <v>9750000</v>
      </c>
      <c r="D12" s="11" t="n">
        <f aca="false">SUM(D8:D11)</f>
        <v>97500000</v>
      </c>
    </row>
    <row r="13" customFormat="false" ht="15" hidden="false" customHeight="false" outlineLevel="0" collapsed="false">
      <c r="A13" s="9" t="s">
        <v>15</v>
      </c>
      <c r="B13" s="11" t="n">
        <f aca="false">B6-B12</f>
        <v>1025000</v>
      </c>
      <c r="C13" s="11" t="n">
        <f aca="false">C6-C12</f>
        <v>10250000</v>
      </c>
      <c r="D13" s="11" t="n">
        <f aca="false">D6-D12</f>
        <v>102500000</v>
      </c>
    </row>
    <row r="14" customFormat="false" ht="15" hidden="false" customHeight="false" outlineLevel="0" collapsed="false">
      <c r="A14" s="9" t="s">
        <v>16</v>
      </c>
      <c r="B14" s="10" t="n">
        <f aca="false">IF(B4=0,0,B13/B4)</f>
        <v>10250</v>
      </c>
      <c r="C14" s="10" t="n">
        <f aca="false">IF(C4=0,0,C13/C4)</f>
        <v>10250</v>
      </c>
      <c r="D14" s="10" t="n">
        <f aca="false">IF(D4=0,0,D13/D4)</f>
        <v>10250</v>
      </c>
    </row>
    <row r="15" customFormat="false" ht="15" hidden="false" customHeight="false" outlineLevel="0" collapsed="false">
      <c r="A15" s="7" t="s">
        <v>17</v>
      </c>
      <c r="B15" s="8"/>
      <c r="C15" s="8"/>
      <c r="D15" s="8"/>
    </row>
    <row r="16" customFormat="false" ht="15" hidden="false" customHeight="false" outlineLevel="0" collapsed="false">
      <c r="A16" s="9" t="s">
        <v>18</v>
      </c>
      <c r="B16" s="12" t="n">
        <f aca="false">MAX(Assumptions!$B$23,CEILING(B4*(1-Assumptions!$B$10)/Assumptions!$B$22,1))</f>
        <v>1</v>
      </c>
      <c r="C16" s="12" t="n">
        <f aca="false">MAX(Assumptions!$B$23,CEILING(C4*(1-Assumptions!$B$10)/Assumptions!$B$22,1))</f>
        <v>1</v>
      </c>
      <c r="D16" s="12" t="n">
        <f aca="false">MAX(Assumptions!$B$23,CEILING(D4*(1-Assumptions!$B$10)/Assumptions!$B$22,1))</f>
        <v>2</v>
      </c>
    </row>
    <row r="17" customFormat="false" ht="15" hidden="false" customHeight="false" outlineLevel="0" collapsed="false">
      <c r="A17" s="9" t="s">
        <v>19</v>
      </c>
      <c r="B17" s="10" t="n">
        <f aca="false">B16*Assumptions!$B$21</f>
        <v>12000000</v>
      </c>
      <c r="C17" s="10" t="n">
        <f aca="false">C16*Assumptions!$B$21</f>
        <v>12000000</v>
      </c>
      <c r="D17" s="10" t="n">
        <f aca="false">D16*Assumptions!$B$21</f>
        <v>24000000</v>
      </c>
    </row>
    <row r="18" customFormat="false" ht="15" hidden="false" customHeight="false" outlineLevel="0" collapsed="false">
      <c r="A18" s="9" t="s">
        <v>20</v>
      </c>
      <c r="B18" s="12" t="n">
        <f aca="false">CEILING(B4/Assumptions!$B$25,1)</f>
        <v>1</v>
      </c>
      <c r="C18" s="12" t="n">
        <f aca="false">CEILING(C4/Assumptions!$B$25,1)</f>
        <v>1</v>
      </c>
      <c r="D18" s="12" t="n">
        <f aca="false">CEILING(D4/Assumptions!$B$25,1)</f>
        <v>2</v>
      </c>
    </row>
    <row r="19" customFormat="false" ht="15" hidden="false" customHeight="false" outlineLevel="0" collapsed="false">
      <c r="A19" s="9" t="s">
        <v>21</v>
      </c>
      <c r="B19" s="10" t="n">
        <f aca="false">B18*Assumptions!$B$24</f>
        <v>10000000</v>
      </c>
      <c r="C19" s="10" t="n">
        <f aca="false">C18*Assumptions!$B$24</f>
        <v>10000000</v>
      </c>
      <c r="D19" s="10" t="n">
        <f aca="false">D18*Assumptions!$B$24</f>
        <v>20000000</v>
      </c>
    </row>
    <row r="20" customFormat="false" ht="15" hidden="false" customHeight="false" outlineLevel="0" collapsed="false">
      <c r="A20" s="9" t="s">
        <v>22</v>
      </c>
      <c r="B20" s="10" t="n">
        <f aca="false">Assumptions!$B$26</f>
        <v>15000000</v>
      </c>
      <c r="C20" s="10" t="n">
        <f aca="false">Assumptions!$B$26</f>
        <v>15000000</v>
      </c>
      <c r="D20" s="10" t="n">
        <f aca="false">Assumptions!$B$26</f>
        <v>15000000</v>
      </c>
    </row>
    <row r="21" customFormat="false" ht="15" hidden="false" customHeight="false" outlineLevel="0" collapsed="false">
      <c r="A21" s="9" t="s">
        <v>23</v>
      </c>
      <c r="B21" s="10" t="n">
        <f aca="false">Assumptions!$B$27</f>
        <v>150000</v>
      </c>
      <c r="C21" s="10" t="n">
        <f aca="false">Assumptions!$B$27</f>
        <v>150000</v>
      </c>
      <c r="D21" s="10" t="n">
        <f aca="false">Assumptions!$B$27</f>
        <v>150000</v>
      </c>
    </row>
    <row r="22" customFormat="false" ht="15" hidden="false" customHeight="false" outlineLevel="0" collapsed="false">
      <c r="A22" s="9" t="s">
        <v>24</v>
      </c>
      <c r="B22" s="11" t="n">
        <f aca="false">B17+B19+B20+B21</f>
        <v>37150000</v>
      </c>
      <c r="C22" s="11" t="n">
        <f aca="false">C17+C19+C20+C21</f>
        <v>37150000</v>
      </c>
      <c r="D22" s="11" t="n">
        <f aca="false">D17+D19+D20+D21</f>
        <v>59150000</v>
      </c>
    </row>
    <row r="23" customFormat="false" ht="15" hidden="false" customHeight="false" outlineLevel="0" collapsed="false">
      <c r="A23" s="7" t="s">
        <v>25</v>
      </c>
      <c r="B23" s="8"/>
      <c r="C23" s="8"/>
      <c r="D23" s="8"/>
    </row>
    <row r="24" customFormat="false" ht="15" hidden="false" customHeight="false" outlineLevel="0" collapsed="false">
      <c r="A24" s="13" t="s">
        <v>26</v>
      </c>
      <c r="B24" s="14" t="n">
        <f aca="false">B13-B22</f>
        <v>-36125000</v>
      </c>
      <c r="C24" s="14" t="n">
        <f aca="false">C13-C22</f>
        <v>-26900000</v>
      </c>
      <c r="D24" s="14" t="n">
        <f aca="false">D13-D22</f>
        <v>43350000</v>
      </c>
    </row>
    <row r="25" customFormat="false" ht="15" hidden="false" customHeight="false" outlineLevel="0" collapsed="false">
      <c r="A25" s="9" t="s">
        <v>27</v>
      </c>
      <c r="B25" s="15" t="n">
        <f aca="false">B24/Assumptions!$B$30</f>
        <v>-1389.42307692308</v>
      </c>
      <c r="C25" s="15" t="n">
        <f aca="false">C24/Assumptions!$B$30</f>
        <v>-1034.61538461538</v>
      </c>
      <c r="D25" s="15" t="n">
        <f aca="false">D24/Assumptions!$B$30</f>
        <v>1667.30769230769</v>
      </c>
    </row>
    <row r="26" customFormat="false" ht="15" hidden="false" customHeight="false" outlineLevel="0" collapsed="false">
      <c r="A26" s="9" t="s">
        <v>28</v>
      </c>
      <c r="B26" s="16" t="n">
        <f aca="false">IF(B6=0,0,B24/B6)</f>
        <v>-18.0625</v>
      </c>
      <c r="C26" s="16" t="n">
        <f aca="false">IF(C6=0,0,C24/C6)</f>
        <v>-1.345</v>
      </c>
      <c r="D26" s="16" t="n">
        <f aca="false">IF(D6=0,0,D24/D6)</f>
        <v>0.21675</v>
      </c>
    </row>
    <row r="27" customFormat="false" ht="15" hidden="false" customHeight="false" outlineLevel="0" collapsed="false">
      <c r="A27" s="13" t="s">
        <v>29</v>
      </c>
      <c r="B27" s="17" t="n">
        <f aca="false">IF(B14&lt;=0,"n/a",B22/B14)</f>
        <v>3624.39024390244</v>
      </c>
      <c r="C27" s="17" t="n">
        <f aca="false">IF(C14&lt;=0,"n/a",C22/C14)</f>
        <v>3624.39024390244</v>
      </c>
      <c r="D27" s="17" t="n">
        <f aca="false">IF(D14&lt;=0,"n/a",D22/D14)</f>
        <v>5770.73170731707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7" t="s">
        <v>7</v>
      </c>
      <c r="B4" s="8"/>
      <c r="C4" s="8"/>
      <c r="D4" s="8"/>
    </row>
    <row r="5" customFormat="false" ht="15" hidden="false" customHeight="false" outlineLevel="0" collapsed="false">
      <c r="A5" s="9" t="s">
        <v>32</v>
      </c>
      <c r="B5" s="6" t="n">
        <v>200000</v>
      </c>
      <c r="C5" s="2" t="s">
        <v>33</v>
      </c>
      <c r="D5" s="2" t="s">
        <v>34</v>
      </c>
    </row>
    <row r="6" customFormat="false" ht="15" hidden="false" customHeight="false" outlineLevel="0" collapsed="false">
      <c r="A6" s="9" t="s">
        <v>35</v>
      </c>
      <c r="B6" s="18" t="n">
        <v>0.1</v>
      </c>
      <c r="C6" s="2" t="s">
        <v>36</v>
      </c>
      <c r="D6" s="2" t="s">
        <v>37</v>
      </c>
    </row>
    <row r="8" customFormat="false" ht="15" hidden="false" customHeight="false" outlineLevel="0" collapsed="false">
      <c r="A8" s="7" t="s">
        <v>38</v>
      </c>
      <c r="B8" s="8"/>
      <c r="C8" s="8"/>
      <c r="D8" s="8"/>
    </row>
    <row r="9" customFormat="false" ht="15" hidden="false" customHeight="false" outlineLevel="0" collapsed="false">
      <c r="A9" s="9" t="s">
        <v>39</v>
      </c>
      <c r="B9" s="6" t="n">
        <v>2000</v>
      </c>
      <c r="C9" s="2" t="s">
        <v>33</v>
      </c>
      <c r="D9" s="2" t="s">
        <v>40</v>
      </c>
    </row>
    <row r="10" customFormat="false" ht="15" hidden="false" customHeight="false" outlineLevel="0" collapsed="false">
      <c r="A10" s="9" t="s">
        <v>41</v>
      </c>
      <c r="B10" s="6" t="n">
        <v>0.75</v>
      </c>
      <c r="C10" s="2" t="s">
        <v>42</v>
      </c>
      <c r="D10" s="2" t="s">
        <v>43</v>
      </c>
    </row>
    <row r="11" customFormat="false" ht="15" hidden="false" customHeight="false" outlineLevel="0" collapsed="false">
      <c r="A11" s="9" t="s">
        <v>44</v>
      </c>
      <c r="B11" s="18" t="n">
        <v>0.15</v>
      </c>
      <c r="C11" s="2" t="s">
        <v>42</v>
      </c>
      <c r="D11" s="2" t="s">
        <v>45</v>
      </c>
    </row>
    <row r="12" customFormat="false" ht="15" hidden="false" customHeight="false" outlineLevel="0" collapsed="false">
      <c r="A12" s="9" t="s">
        <v>46</v>
      </c>
      <c r="B12" s="18" t="n">
        <v>0.05</v>
      </c>
      <c r="C12" s="2" t="s">
        <v>36</v>
      </c>
      <c r="D12" s="2" t="s">
        <v>47</v>
      </c>
    </row>
    <row r="13" customFormat="false" ht="15" hidden="false" customHeight="false" outlineLevel="0" collapsed="false">
      <c r="A13" s="9" t="s">
        <v>48</v>
      </c>
      <c r="B13" s="6" t="n">
        <v>5000</v>
      </c>
      <c r="C13" s="2" t="s">
        <v>33</v>
      </c>
      <c r="D13" s="2" t="s">
        <v>49</v>
      </c>
    </row>
    <row r="15" customFormat="false" ht="15" hidden="false" customHeight="false" outlineLevel="0" collapsed="false">
      <c r="A15" s="7" t="s">
        <v>50</v>
      </c>
      <c r="B15" s="8"/>
      <c r="C15" s="8"/>
      <c r="D15" s="8"/>
    </row>
    <row r="16" customFormat="false" ht="15" hidden="false" customHeight="false" outlineLevel="0" collapsed="false">
      <c r="A16" s="9" t="s">
        <v>51</v>
      </c>
      <c r="B16" s="6" t="n">
        <v>150000</v>
      </c>
      <c r="C16" s="2" t="s">
        <v>33</v>
      </c>
      <c r="D16" s="2" t="s">
        <v>52</v>
      </c>
    </row>
    <row r="17" customFormat="false" ht="15" hidden="false" customHeight="false" outlineLevel="0" collapsed="false">
      <c r="A17" s="9" t="s">
        <v>53</v>
      </c>
      <c r="B17" s="6" t="n">
        <v>10</v>
      </c>
      <c r="C17" s="2" t="s">
        <v>54</v>
      </c>
      <c r="D17" s="2" t="s">
        <v>55</v>
      </c>
    </row>
    <row r="18" customFormat="false" ht="15" hidden="false" customHeight="false" outlineLevel="0" collapsed="false">
      <c r="A18" s="9" t="s">
        <v>56</v>
      </c>
      <c r="B18" s="6" t="n">
        <v>12</v>
      </c>
      <c r="C18" s="2" t="s">
        <v>57</v>
      </c>
      <c r="D18" s="2" t="s">
        <v>58</v>
      </c>
    </row>
    <row r="20" customFormat="false" ht="15" hidden="false" customHeight="false" outlineLevel="0" collapsed="false">
      <c r="A20" s="7" t="s">
        <v>59</v>
      </c>
      <c r="B20" s="8"/>
      <c r="C20" s="8"/>
      <c r="D20" s="8"/>
    </row>
    <row r="21" customFormat="false" ht="15" hidden="false" customHeight="false" outlineLevel="0" collapsed="false">
      <c r="A21" s="9" t="s">
        <v>60</v>
      </c>
      <c r="B21" s="6" t="n">
        <v>12000000</v>
      </c>
      <c r="C21" s="2" t="s">
        <v>61</v>
      </c>
      <c r="D21" s="2" t="s">
        <v>62</v>
      </c>
    </row>
    <row r="22" customFormat="false" ht="15" hidden="false" customHeight="false" outlineLevel="0" collapsed="false">
      <c r="A22" s="9" t="s">
        <v>63</v>
      </c>
      <c r="B22" s="6" t="n">
        <v>1500</v>
      </c>
      <c r="C22" s="2" t="s">
        <v>64</v>
      </c>
      <c r="D22" s="2" t="s">
        <v>65</v>
      </c>
    </row>
    <row r="23" customFormat="false" ht="15" hidden="false" customHeight="false" outlineLevel="0" collapsed="false">
      <c r="A23" s="9" t="s">
        <v>66</v>
      </c>
      <c r="B23" s="6" t="n">
        <v>1</v>
      </c>
      <c r="C23" s="2" t="s">
        <v>67</v>
      </c>
      <c r="D23" s="2" t="s">
        <v>68</v>
      </c>
    </row>
    <row r="24" customFormat="false" ht="15" hidden="false" customHeight="false" outlineLevel="0" collapsed="false">
      <c r="A24" s="9" t="s">
        <v>69</v>
      </c>
      <c r="B24" s="6" t="n">
        <v>10000000</v>
      </c>
      <c r="C24" s="2" t="s">
        <v>61</v>
      </c>
      <c r="D24" s="2" t="s">
        <v>70</v>
      </c>
    </row>
    <row r="25" customFormat="false" ht="15" hidden="false" customHeight="false" outlineLevel="0" collapsed="false">
      <c r="A25" s="9" t="s">
        <v>71</v>
      </c>
      <c r="B25" s="6" t="n">
        <v>5000</v>
      </c>
      <c r="C25" s="2" t="s">
        <v>64</v>
      </c>
      <c r="D25" s="2" t="s">
        <v>72</v>
      </c>
    </row>
    <row r="26" customFormat="false" ht="15" hidden="false" customHeight="false" outlineLevel="0" collapsed="false">
      <c r="A26" s="9" t="s">
        <v>73</v>
      </c>
      <c r="B26" s="6" t="n">
        <v>15000000</v>
      </c>
      <c r="C26" s="2" t="s">
        <v>61</v>
      </c>
      <c r="D26" s="2" t="s">
        <v>74</v>
      </c>
    </row>
    <row r="27" customFormat="false" ht="15" hidden="false" customHeight="false" outlineLevel="0" collapsed="false">
      <c r="A27" s="9" t="s">
        <v>23</v>
      </c>
      <c r="B27" s="6" t="n">
        <v>150000</v>
      </c>
      <c r="C27" s="2" t="s">
        <v>61</v>
      </c>
      <c r="D27" s="2" t="s">
        <v>75</v>
      </c>
    </row>
    <row r="29" customFormat="false" ht="15" hidden="false" customHeight="false" outlineLevel="0" collapsed="false">
      <c r="A29" s="7" t="s">
        <v>76</v>
      </c>
      <c r="B29" s="8"/>
      <c r="C29" s="8"/>
      <c r="D29" s="8"/>
    </row>
    <row r="30" customFormat="false" ht="15" hidden="false" customHeight="false" outlineLevel="0" collapsed="false">
      <c r="A30" s="9" t="s">
        <v>77</v>
      </c>
      <c r="B30" s="6" t="n">
        <v>26000</v>
      </c>
      <c r="C30" s="2" t="s">
        <v>78</v>
      </c>
      <c r="D30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9" t="s">
        <v>81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9" t="s">
        <v>82</v>
      </c>
    </row>
    <row r="6" customFormat="false" ht="15" hidden="false" customHeight="false" outlineLevel="0" collapsed="false">
      <c r="A6" s="2" t="s">
        <v>83</v>
      </c>
    </row>
    <row r="7" customFormat="false" ht="15" hidden="false" customHeight="false" outlineLevel="0" collapsed="false">
      <c r="A7" s="2" t="s">
        <v>84</v>
      </c>
    </row>
    <row r="8" customFormat="false" ht="15" hidden="false" customHeight="false" outlineLevel="0" collapsed="false">
      <c r="A8" s="2" t="s">
        <v>85</v>
      </c>
    </row>
    <row r="9" customFormat="false" ht="15" hidden="false" customHeight="false" outlineLevel="0" collapsed="false">
      <c r="A9" s="2" t="s">
        <v>86</v>
      </c>
    </row>
    <row r="10" customFormat="false" ht="15" hidden="false" customHeight="false" outlineLevel="0" collapsed="false">
      <c r="A10" s="2" t="s">
        <v>87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9" t="s">
        <v>88</v>
      </c>
    </row>
    <row r="13" customFormat="false" ht="15" hidden="false" customHeight="false" outlineLevel="0" collapsed="false">
      <c r="A13" s="2" t="s">
        <v>89</v>
      </c>
    </row>
    <row r="14" customFormat="false" ht="15" hidden="false" customHeight="false" outlineLevel="0" collapsed="false">
      <c r="A14" s="2" t="s">
        <v>90</v>
      </c>
    </row>
    <row r="15" customFormat="false" ht="15" hidden="false" customHeight="false" outlineLevel="0" collapsed="false">
      <c r="A15" s="2" t="s">
        <v>91</v>
      </c>
    </row>
    <row r="16" customFormat="false" ht="15" hidden="false" customHeight="false" outlineLevel="0" collapsed="false">
      <c r="A16" s="2" t="s">
        <v>92</v>
      </c>
    </row>
    <row r="17" customFormat="false" ht="15" hidden="false" customHeight="false" outlineLevel="0" collapsed="false">
      <c r="A17" s="2" t="s">
        <v>93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9" t="s">
        <v>94</v>
      </c>
    </row>
    <row r="20" customFormat="false" ht="15" hidden="false" customHeight="false" outlineLevel="0" collapsed="false">
      <c r="A20" s="2" t="s">
        <v>95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9" t="s">
        <v>96</v>
      </c>
    </row>
    <row r="23" customFormat="false" ht="15" hidden="false" customHeight="false" outlineLevel="0" collapsed="false">
      <c r="A23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2026-06-27T16:07:24Z</dcterms:created>
  <dc:creator>openpyxl</dc:creator>
  <dc:description/>
  <dc:language>en-US</dc:language>
  <cp:lastModifiedBy/>
  <dcterms:modified xsi:type="dcterms:W3CDTF">2026-06-27T16:07:24Z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