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Model" sheetId="1" state="visible" r:id="rId3"/>
    <sheet name="Assumptions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<sst xmlns="http://schemas.openxmlformats.org/spreadsheetml/2006/main" count="118" uniqueCount="100">
  <si>
    <t xml:space="preserve">ECOGO — Monthly Cloud + API Cost vs. Revenue</t>
  </si>
  <si>
    <t xml:space="preserve">Cloud &amp; API only. Excludes the real cost centres: dispatcher salaries, driver incentives/CAC, support, ops.</t>
  </si>
  <si>
    <t xml:space="preserve">Metric (per month)</t>
  </si>
  <si>
    <t xml:space="preserve">Pilot</t>
  </si>
  <si>
    <t xml:space="preserve">Growth</t>
  </si>
  <si>
    <t xml:space="preserve">Scale</t>
  </si>
  <si>
    <t xml:space="preserve">Trips / month</t>
  </si>
  <si>
    <t xml:space="preserve">API VOLUME</t>
  </si>
  <si>
    <t xml:space="preserve">Billable directions calls</t>
  </si>
  <si>
    <t xml:space="preserve">Map loads</t>
  </si>
  <si>
    <t xml:space="preserve">Autocomplete requests</t>
  </si>
  <si>
    <t xml:space="preserve">Reverse geocoding requests</t>
  </si>
  <si>
    <t xml:space="preserve">SMS OTP messages</t>
  </si>
  <si>
    <t xml:space="preserve">VARIABLE COST (USD)</t>
  </si>
  <si>
    <t xml:space="preserve">Directions</t>
  </si>
  <si>
    <t xml:space="preserve">Autocomplete</t>
  </si>
  <si>
    <t xml:space="preserve">Reverse geocoding</t>
  </si>
  <si>
    <t xml:space="preserve">SMS OTP</t>
  </si>
  <si>
    <t xml:space="preserve">Push (FCM)</t>
  </si>
  <si>
    <t xml:space="preserve">Variable subtotal</t>
  </si>
  <si>
    <t xml:space="preserve">FIXED COST (USD)</t>
  </si>
  <si>
    <t xml:space="preserve">Cloud infra (compute, managed PG+PostGIS, Redis, bandwidth)</t>
  </si>
  <si>
    <t xml:space="preserve">SMS brandname upkeep</t>
  </si>
  <si>
    <t xml:space="preserve">Fixed subtotal</t>
  </si>
  <si>
    <t xml:space="preserve">TOTAL COST (USD / mo)</t>
  </si>
  <si>
    <t xml:space="preserve">Total cost (VND / mo)</t>
  </si>
  <si>
    <t xml:space="preserve">Cost per trip (VND)</t>
  </si>
  <si>
    <t xml:space="preserve">REVENUE</t>
  </si>
  <si>
    <t xml:space="preserve">Gross fee revenue (VND)</t>
  </si>
  <si>
    <t xml:space="preserve">Affiliate payout (VND)</t>
  </si>
  <si>
    <t xml:space="preserve">Net revenue (VND)</t>
  </si>
  <si>
    <t xml:space="preserve">Net revenue (USD)</t>
  </si>
  <si>
    <t xml:space="preserve">CONTRIBUTION MARGIN (USD / mo)</t>
  </si>
  <si>
    <t xml:space="preserve">Margin per trip (VND)</t>
  </si>
  <si>
    <t xml:space="preserve">Margin %</t>
  </si>
  <si>
    <t xml:space="preserve">ECOGO — Cost Model Assumptions</t>
  </si>
  <si>
    <t xml:space="preserve">Blue = editable input. Prices current as of Jun 2026 — replace with your real quotes before relying on this.</t>
  </si>
  <si>
    <t xml:space="preserve">FX &amp; RATES</t>
  </si>
  <si>
    <t xml:space="preserve">FX rate</t>
  </si>
  <si>
    <t xml:space="preserve">VND / USD</t>
  </si>
  <si>
    <t xml:space="preserve">Approx mid-2026; editable</t>
  </si>
  <si>
    <t xml:space="preserve">GOONG API — USD per 1,000 requests (&lt;100k/mo tier)</t>
  </si>
  <si>
    <t xml:space="preserve">USD/1k</t>
  </si>
  <si>
    <t xml:space="preserve">Source: goong.io/pricing-plans, Jun 2026</t>
  </si>
  <si>
    <t xml:space="preserve">Map Loads</t>
  </si>
  <si>
    <t xml:space="preserve">Reverse Geocoding</t>
  </si>
  <si>
    <t xml:space="preserve">Forward Geocoding</t>
  </si>
  <si>
    <t xml:space="preserve">MESSAGING</t>
  </si>
  <si>
    <t xml:space="preserve">VND / msg</t>
  </si>
  <si>
    <t xml:space="preserve">Source: sms-brandname.vn, Jun 2026. Zalo ZNS OTP ~300đ alt.</t>
  </si>
  <si>
    <t xml:space="preserve">USD</t>
  </si>
  <si>
    <t xml:space="preserve">Firebase Cloud Messaging is free</t>
  </si>
  <si>
    <t xml:space="preserve">VND / mo</t>
  </si>
  <si>
    <t xml:space="preserve">~50k/carrier x 3 carriers maintenance</t>
  </si>
  <si>
    <t xml:space="preserve">USAGE PER COMPLETED TRIP</t>
  </si>
  <si>
    <t xml:space="preserve">Directions calls / trip</t>
  </si>
  <si>
    <t xml:space="preserve">calls</t>
  </si>
  <si>
    <t xml:space="preserve">1 per ride posted + occasional re-route/ETA</t>
  </si>
  <si>
    <t xml:space="preserve">Directions cache hit rate</t>
  </si>
  <si>
    <t xml:space="preserve">fraction</t>
  </si>
  <si>
    <t xml:space="preserve">Cached corridor routes not re-billed</t>
  </si>
  <si>
    <t xml:space="preserve">Map loads / trip</t>
  </si>
  <si>
    <t xml:space="preserve">loads</t>
  </si>
  <si>
    <t xml:space="preserve">Build uses FREE OSM tiles -&gt; set 0 if not using Goong tiles</t>
  </si>
  <si>
    <t xml:space="preserve">Autocomplete reqs / trip</t>
  </si>
  <si>
    <t xml:space="preserve">reqs</t>
  </si>
  <si>
    <t xml:space="preserve">MVP uses preset corridor stops -&gt; set 0</t>
  </si>
  <si>
    <t xml:space="preserve">Reverse geocoding / trip</t>
  </si>
  <si>
    <t xml:space="preserve">Occasional GPS-to-label</t>
  </si>
  <si>
    <t xml:space="preserve">SMS OTP / trip</t>
  </si>
  <si>
    <t xml:space="preserve">msgs</t>
  </si>
  <si>
    <t xml:space="preserve">Logins amortised (JWT lasts ~30d)</t>
  </si>
  <si>
    <t xml:space="preserve">Avg fare / booking</t>
  </si>
  <si>
    <t xml:space="preserve">VND</t>
  </si>
  <si>
    <t xml:space="preserve">Editable — corridor dependent</t>
  </si>
  <si>
    <t xml:space="preserve">Platform fee</t>
  </si>
  <si>
    <t xml:space="preserve">% of fare</t>
  </si>
  <si>
    <t xml:space="preserve">10% taken from driver</t>
  </si>
  <si>
    <t xml:space="preserve">Referred-trip share</t>
  </si>
  <si>
    <t xml:space="preserve">Share of trips paying the 3-yr affiliate</t>
  </si>
  <si>
    <t xml:space="preserve">Affiliate rate</t>
  </si>
  <si>
    <t xml:space="preserve">5% to referring driver</t>
  </si>
  <si>
    <t xml:space="preserve">How to read this model</t>
  </si>
  <si>
    <t xml:space="preserve">Scenarios: Pilot = 100 trips/mo, Growth = 1,000, Scale = 10,000. Change any blue cell to re-scenario.</t>
  </si>
  <si>
    <t xml:space="preserve">What dominates the cost — and the levers:</t>
  </si>
  <si>
    <t xml:space="preserve">  1. Autocomplete and Map Loads are the biggest variable lines IF you wire address search and Goong map tiles.</t>
  </si>
  <si>
    <t xml:space="preserve">     The MVP avoids both: it uses preset corridor stops (no autocomplete) and free OpenStreetMap tiles (no map-load</t>
  </si>
  <si>
    <t xml:space="preserve">     billing). Set those usage rows to 0 to model the as-built app — variable cost then collapses to near zero.</t>
  </si>
  <si>
    <t xml:space="preserve">  2. Directions is cheap ($2.50/1k) and called ~once per ride; caching identical corridors trims it further.</t>
  </si>
  <si>
    <t xml:space="preserve">  3. SMS OTP is per login, not per trip; amortised it is a few hundred dong per trip. Zalo ZNS OTP (300đ) is cheaper.</t>
  </si>
  <si>
    <t xml:space="preserve">  4. Push (FCM) is free.</t>
  </si>
  <si>
    <t xml:space="preserve">Unit economics: a 10% fee on a ~200,000đ fare is ~20,000đ/trip of revenue, while cloud+API cost per trip is on the</t>
  </si>
  <si>
    <t xml:space="preserve">order of a few hundred to ~3,000đ. The technology is NOT the constraint on margin at any of these volumes.</t>
  </si>
  <si>
    <t xml:space="preserve">What this model excludes (the real P&amp;L drivers):</t>
  </si>
  <si>
    <t xml:space="preserve">  - Dispatcher salaries (the cockpit is human-staffed), driver acquisition/incentives, support, marketing, ops.</t>
  </si>
  <si>
    <t xml:space="preserve">  - The 3-year affiliate liability beyond the simple payout line (model it fully in a finance model).</t>
  </si>
  <si>
    <t xml:space="preserve">  - One-offs: Goong gives $100 signup credit (covers ~month 1); brandname setup ~50k–900k VND one-time.</t>
  </si>
  <si>
    <t xml:space="preserve">Tier note: above ~100k total Goong requests/month (around the Scale tier) unit prices drop</t>
  </si>
  <si>
    <t xml:space="preserve">(Directions $2.50 -&gt; $2.15, etc.), so the Scale column is slightly conservative.</t>
  </si>
  <si>
    <t xml:space="preserve">All prices are estimates as of Jun 2026 from public pricing pages. Replace with contracted quotes before budgeting.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</si>
</sst>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.00"/>
    <numFmt numFmtId="167" formatCode="\$#,##0"/>
    <numFmt numFmtId="168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D6A4F"/>
        <bgColor rgb="FF595959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s">
        <v>3</v>
      </c>
      <c r="C3" s="4" t="s">
        <v>4</v>
      </c>
      <c r="D3" s="4" t="s">
        <v>5</v>
      </c>
    </row>
    <row r="4" customFormat="false" ht="15" hidden="false" customHeight="false" outlineLevel="0" collapsed="false">
      <c r="A4" s="5" t="s">
        <v>6</v>
      </c>
      <c r="B4" s="6" t="n">
        <v>100</v>
      </c>
      <c r="C4" s="6" t="n">
        <v>1000</v>
      </c>
      <c r="D4" s="6" t="n">
        <v>10000</v>
      </c>
    </row>
    <row r="5" customFormat="false" ht="15" hidden="false" customHeight="false" outlineLevel="0" collapsed="false">
      <c r="A5" s="7" t="s">
        <v>7</v>
      </c>
      <c r="B5" s="8"/>
      <c r="C5" s="8"/>
      <c r="D5" s="8"/>
    </row>
    <row r="6" customFormat="false" ht="15" hidden="false" customHeight="false" outlineLevel="0" collapsed="false">
      <c r="A6" s="9" t="s">
        <v>8</v>
      </c>
      <c r="B6" s="10" t="n">
        <f aca="false">B4*Assumptions!$B$20*(1-Assumptions!$B$21)</f>
        <v>75</v>
      </c>
      <c r="C6" s="10" t="n">
        <f aca="false">C4*Assumptions!$B$20*(1-Assumptions!$B$21)</f>
        <v>750</v>
      </c>
      <c r="D6" s="10" t="n">
        <f aca="false">D4*Assumptions!$B$20*(1-Assumptions!$B$21)</f>
        <v>7500</v>
      </c>
    </row>
    <row r="7" customFormat="false" ht="15" hidden="false" customHeight="false" outlineLevel="0" collapsed="false">
      <c r="A7" s="9" t="s">
        <v>9</v>
      </c>
      <c r="B7" s="10" t="n">
        <f aca="false">B4*Assumptions!$B$22</f>
        <v>300</v>
      </c>
      <c r="C7" s="10" t="n">
        <f aca="false">C4*Assumptions!$B$22</f>
        <v>3000</v>
      </c>
      <c r="D7" s="10" t="n">
        <f aca="false">D4*Assumptions!$B$22</f>
        <v>30000</v>
      </c>
    </row>
    <row r="8" customFormat="false" ht="15" hidden="false" customHeight="false" outlineLevel="0" collapsed="false">
      <c r="A8" s="9" t="s">
        <v>10</v>
      </c>
      <c r="B8" s="10" t="n">
        <f aca="false">B4*Assumptions!$B$23</f>
        <v>800</v>
      </c>
      <c r="C8" s="10" t="n">
        <f aca="false">C4*Assumptions!$B$23</f>
        <v>8000</v>
      </c>
      <c r="D8" s="10" t="n">
        <f aca="false">D4*Assumptions!$B$23</f>
        <v>80000</v>
      </c>
    </row>
    <row r="9" customFormat="false" ht="15" hidden="false" customHeight="false" outlineLevel="0" collapsed="false">
      <c r="A9" s="9" t="s">
        <v>11</v>
      </c>
      <c r="B9" s="10" t="n">
        <f aca="false">B4*Assumptions!$B$24</f>
        <v>100</v>
      </c>
      <c r="C9" s="10" t="n">
        <f aca="false">C4*Assumptions!$B$24</f>
        <v>1000</v>
      </c>
      <c r="D9" s="10" t="n">
        <f aca="false">D4*Assumptions!$B$24</f>
        <v>10000</v>
      </c>
    </row>
    <row r="10" customFormat="false" ht="15" hidden="false" customHeight="false" outlineLevel="0" collapsed="false">
      <c r="A10" s="9" t="s">
        <v>12</v>
      </c>
      <c r="B10" s="10" t="n">
        <f aca="false">B4*Assumptions!$B$25</f>
        <v>30</v>
      </c>
      <c r="C10" s="10" t="n">
        <f aca="false">C4*Assumptions!$B$25</f>
        <v>300</v>
      </c>
      <c r="D10" s="10" t="n">
        <f aca="false">D4*Assumptions!$B$25</f>
        <v>3000</v>
      </c>
    </row>
    <row r="11" customFormat="false" ht="15" hidden="false" customHeight="false" outlineLevel="0" collapsed="false">
      <c r="A11" s="7" t="s">
        <v>13</v>
      </c>
      <c r="B11" s="8"/>
      <c r="C11" s="8"/>
      <c r="D11" s="8"/>
    </row>
    <row r="12" customFormat="false" ht="15" hidden="false" customHeight="false" outlineLevel="0" collapsed="false">
      <c r="A12" s="9" t="s">
        <v>14</v>
      </c>
      <c r="B12" s="11" t="n">
        <f aca="false">B6/1000*Assumptions!$B$8</f>
        <v>0.1875</v>
      </c>
      <c r="C12" s="11" t="n">
        <f aca="false">C6/1000*Assumptions!$B$8</f>
        <v>1.875</v>
      </c>
      <c r="D12" s="11" t="n">
        <f aca="false">D6/1000*Assumptions!$B$8</f>
        <v>18.75</v>
      </c>
    </row>
    <row r="13" customFormat="false" ht="15" hidden="false" customHeight="false" outlineLevel="0" collapsed="false">
      <c r="A13" s="9" t="s">
        <v>9</v>
      </c>
      <c r="B13" s="11" t="n">
        <f aca="false">B7/1000*Assumptions!$B$9</f>
        <v>0.9</v>
      </c>
      <c r="C13" s="11" t="n">
        <f aca="false">C7/1000*Assumptions!$B$9</f>
        <v>9</v>
      </c>
      <c r="D13" s="11" t="n">
        <f aca="false">D7/1000*Assumptions!$B$9</f>
        <v>90</v>
      </c>
    </row>
    <row r="14" customFormat="false" ht="15" hidden="false" customHeight="false" outlineLevel="0" collapsed="false">
      <c r="A14" s="9" t="s">
        <v>15</v>
      </c>
      <c r="B14" s="11" t="n">
        <f aca="false">B8/1000*Assumptions!$B$10</f>
        <v>1.12</v>
      </c>
      <c r="C14" s="11" t="n">
        <f aca="false">C8/1000*Assumptions!$B$10</f>
        <v>11.2</v>
      </c>
      <c r="D14" s="11" t="n">
        <f aca="false">D8/1000*Assumptions!$B$10</f>
        <v>112</v>
      </c>
    </row>
    <row r="15" customFormat="false" ht="15" hidden="false" customHeight="false" outlineLevel="0" collapsed="false">
      <c r="A15" s="9" t="s">
        <v>16</v>
      </c>
      <c r="B15" s="11" t="n">
        <f aca="false">B9/1000*Assumptions!$B$11</f>
        <v>0.15</v>
      </c>
      <c r="C15" s="11" t="n">
        <f aca="false">C9/1000*Assumptions!$B$11</f>
        <v>1.5</v>
      </c>
      <c r="D15" s="11" t="n">
        <f aca="false">D9/1000*Assumptions!$B$11</f>
        <v>15</v>
      </c>
    </row>
    <row r="16" customFormat="false" ht="15" hidden="false" customHeight="false" outlineLevel="0" collapsed="false">
      <c r="A16" s="9" t="s">
        <v>17</v>
      </c>
      <c r="B16" s="11" t="n">
        <f aca="false">B10*Assumptions!$B$15/Assumptions!$B$5</f>
        <v>0.461538461538462</v>
      </c>
      <c r="C16" s="11" t="n">
        <f aca="false">C10*Assumptions!$B$15/Assumptions!$B$5</f>
        <v>4.61538461538462</v>
      </c>
      <c r="D16" s="11" t="n">
        <f aca="false">D10*Assumptions!$B$15/Assumptions!$B$5</f>
        <v>46.1538461538462</v>
      </c>
    </row>
    <row r="17" customFormat="false" ht="15" hidden="false" customHeight="false" outlineLevel="0" collapsed="false">
      <c r="A17" s="9" t="s">
        <v>18</v>
      </c>
      <c r="B17" s="11" t="n">
        <f aca="false">Assumptions!$B$16</f>
        <v>0</v>
      </c>
      <c r="C17" s="11" t="n">
        <f aca="false">Assumptions!$B$16</f>
        <v>0</v>
      </c>
      <c r="D17" s="11" t="n">
        <f aca="false">Assumptions!$B$16</f>
        <v>0</v>
      </c>
    </row>
    <row r="18" customFormat="false" ht="15" hidden="false" customHeight="false" outlineLevel="0" collapsed="false">
      <c r="A18" s="9" t="s">
        <v>19</v>
      </c>
      <c r="B18" s="12" t="n">
        <f aca="false">SUM(B12:B17)</f>
        <v>2.81903846153846</v>
      </c>
      <c r="C18" s="12" t="n">
        <f aca="false">SUM(C12:C17)</f>
        <v>28.1903846153846</v>
      </c>
      <c r="D18" s="12" t="n">
        <f aca="false">SUM(D12:D17)</f>
        <v>281.903846153846</v>
      </c>
    </row>
    <row r="19" customFormat="false" ht="15" hidden="false" customHeight="false" outlineLevel="0" collapsed="false">
      <c r="A19" s="7" t="s">
        <v>20</v>
      </c>
      <c r="B19" s="8"/>
      <c r="C19" s="8"/>
      <c r="D19" s="8"/>
    </row>
    <row r="20" customFormat="false" ht="15" hidden="false" customHeight="false" outlineLevel="0" collapsed="false">
      <c r="A20" s="9" t="s">
        <v>21</v>
      </c>
      <c r="B20" s="13" t="n">
        <v>25</v>
      </c>
      <c r="C20" s="13" t="n">
        <v>80</v>
      </c>
      <c r="D20" s="13" t="n">
        <v>300</v>
      </c>
    </row>
    <row r="21" customFormat="false" ht="15" hidden="false" customHeight="false" outlineLevel="0" collapsed="false">
      <c r="A21" s="9" t="s">
        <v>22</v>
      </c>
      <c r="B21" s="11" t="n">
        <f aca="false">Assumptions!$B$17/Assumptions!$B$5</f>
        <v>5.76923076923077</v>
      </c>
      <c r="C21" s="11" t="n">
        <f aca="false">Assumptions!$B$17/Assumptions!$B$5</f>
        <v>5.76923076923077</v>
      </c>
      <c r="D21" s="11" t="n">
        <f aca="false">Assumptions!$B$17/Assumptions!$B$5</f>
        <v>5.76923076923077</v>
      </c>
    </row>
    <row r="22" customFormat="false" ht="15" hidden="false" customHeight="false" outlineLevel="0" collapsed="false">
      <c r="A22" s="9" t="s">
        <v>23</v>
      </c>
      <c r="B22" s="12" t="n">
        <f aca="false">B20+B21</f>
        <v>30.7692307692308</v>
      </c>
      <c r="C22" s="12" t="n">
        <f aca="false">C20+C21</f>
        <v>85.7692307692308</v>
      </c>
      <c r="D22" s="12" t="n">
        <f aca="false">D20+D21</f>
        <v>305.769230769231</v>
      </c>
    </row>
    <row r="24" customFormat="false" ht="15" hidden="false" customHeight="false" outlineLevel="0" collapsed="false">
      <c r="A24" s="14" t="s">
        <v>24</v>
      </c>
      <c r="B24" s="15" t="n">
        <f aca="false">B18+B22</f>
        <v>33.5882692307692</v>
      </c>
      <c r="C24" s="15" t="n">
        <f aca="false">C18+C22</f>
        <v>113.959615384615</v>
      </c>
      <c r="D24" s="15" t="n">
        <f aca="false">D18+D22</f>
        <v>587.673076923077</v>
      </c>
    </row>
    <row r="25" customFormat="false" ht="15" hidden="false" customHeight="false" outlineLevel="0" collapsed="false">
      <c r="A25" s="9" t="s">
        <v>25</v>
      </c>
      <c r="B25" s="10" t="n">
        <f aca="false">B24*Assumptions!$B$5</f>
        <v>873295</v>
      </c>
      <c r="C25" s="10" t="n">
        <f aca="false">C24*Assumptions!$B$5</f>
        <v>2962950</v>
      </c>
      <c r="D25" s="10" t="n">
        <f aca="false">D24*Assumptions!$B$5</f>
        <v>15279500</v>
      </c>
    </row>
    <row r="26" customFormat="false" ht="15" hidden="false" customHeight="false" outlineLevel="0" collapsed="false">
      <c r="A26" s="9" t="s">
        <v>26</v>
      </c>
      <c r="B26" s="10" t="n">
        <f aca="false">IF(B4=0,0,B25/B4)</f>
        <v>8732.95</v>
      </c>
      <c r="C26" s="10" t="n">
        <f aca="false">IF(C4=0,0,C25/C4)</f>
        <v>2962.95</v>
      </c>
      <c r="D26" s="10" t="n">
        <f aca="false">IF(D4=0,0,D25/D4)</f>
        <v>1527.95</v>
      </c>
    </row>
    <row r="27" customFormat="false" ht="15" hidden="false" customHeight="false" outlineLevel="0" collapsed="false">
      <c r="A27" s="7" t="s">
        <v>27</v>
      </c>
      <c r="B27" s="8"/>
      <c r="C27" s="8"/>
      <c r="D27" s="8"/>
    </row>
    <row r="28" customFormat="false" ht="15" hidden="false" customHeight="false" outlineLevel="0" collapsed="false">
      <c r="A28" s="9" t="s">
        <v>28</v>
      </c>
      <c r="B28" s="10" t="n">
        <f aca="false">B4*Assumptions!$B$28*Assumptions!$B$29</f>
        <v>2000000</v>
      </c>
      <c r="C28" s="10" t="n">
        <f aca="false">C4*Assumptions!$B$28*Assumptions!$B$29</f>
        <v>20000000</v>
      </c>
      <c r="D28" s="10" t="n">
        <f aca="false">D4*Assumptions!$B$28*Assumptions!$B$29</f>
        <v>200000000</v>
      </c>
    </row>
    <row r="29" customFormat="false" ht="15" hidden="false" customHeight="false" outlineLevel="0" collapsed="false">
      <c r="A29" s="9" t="s">
        <v>29</v>
      </c>
      <c r="B29" s="10" t="n">
        <f aca="false">B4*Assumptions!$B$30*Assumptions!$B$28*Assumptions!$B$31</f>
        <v>150000</v>
      </c>
      <c r="C29" s="10" t="n">
        <f aca="false">C4*Assumptions!$B$30*Assumptions!$B$28*Assumptions!$B$31</f>
        <v>1500000</v>
      </c>
      <c r="D29" s="10" t="n">
        <f aca="false">D4*Assumptions!$B$30*Assumptions!$B$28*Assumptions!$B$31</f>
        <v>15000000</v>
      </c>
    </row>
    <row r="30" customFormat="false" ht="15" hidden="false" customHeight="false" outlineLevel="0" collapsed="false">
      <c r="A30" s="9" t="s">
        <v>30</v>
      </c>
      <c r="B30" s="16" t="n">
        <f aca="false">B28-B29</f>
        <v>1850000</v>
      </c>
      <c r="C30" s="16" t="n">
        <f aca="false">C28-C29</f>
        <v>18500000</v>
      </c>
      <c r="D30" s="16" t="n">
        <f aca="false">D28-D29</f>
        <v>185000000</v>
      </c>
    </row>
    <row r="31" customFormat="false" ht="15" hidden="false" customHeight="false" outlineLevel="0" collapsed="false">
      <c r="A31" s="9" t="s">
        <v>31</v>
      </c>
      <c r="B31" s="17" t="n">
        <f aca="false">B30/Assumptions!$B$5</f>
        <v>71.1538461538462</v>
      </c>
      <c r="C31" s="17" t="n">
        <f aca="false">C30/Assumptions!$B$5</f>
        <v>711.538461538462</v>
      </c>
      <c r="D31" s="17" t="n">
        <f aca="false">D30/Assumptions!$B$5</f>
        <v>7115.38461538462</v>
      </c>
    </row>
    <row r="33" customFormat="false" ht="15" hidden="false" customHeight="false" outlineLevel="0" collapsed="false">
      <c r="A33" s="14" t="s">
        <v>32</v>
      </c>
      <c r="B33" s="18" t="n">
        <f aca="false">B31-B24</f>
        <v>37.5655769230769</v>
      </c>
      <c r="C33" s="18" t="n">
        <f aca="false">C31-C24</f>
        <v>597.578846153846</v>
      </c>
      <c r="D33" s="18" t="n">
        <f aca="false">D31-D24</f>
        <v>6527.71153846154</v>
      </c>
    </row>
    <row r="34" customFormat="false" ht="15" hidden="false" customHeight="false" outlineLevel="0" collapsed="false">
      <c r="A34" s="9" t="s">
        <v>33</v>
      </c>
      <c r="B34" s="10" t="n">
        <f aca="false">IF(B4=0,0,(B30-B25)/B4)</f>
        <v>9767.05</v>
      </c>
      <c r="C34" s="10" t="n">
        <f aca="false">IF(C4=0,0,(C30-C25)/C4)</f>
        <v>15537.05</v>
      </c>
      <c r="D34" s="10" t="n">
        <f aca="false">IF(D4=0,0,(D30-D25)/D4)</f>
        <v>16972.05</v>
      </c>
    </row>
    <row r="35" customFormat="false" ht="15" hidden="false" customHeight="false" outlineLevel="0" collapsed="false">
      <c r="A35" s="9" t="s">
        <v>34</v>
      </c>
      <c r="B35" s="19" t="n">
        <f aca="false">IF(B31=0,0,(B31-B24)/B31)</f>
        <v>0.527948648648649</v>
      </c>
      <c r="C35" s="19" t="n">
        <f aca="false">IF(C31=0,0,(C31-C24)/C31)</f>
        <v>0.839840540540541</v>
      </c>
      <c r="D35" s="19" t="n">
        <f aca="false">IF(D31=0,0,(D31-D24)/D31)</f>
        <v>0.917408108108108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4" customFormat="false" ht="15" hidden="false" customHeight="false" outlineLevel="0" collapsed="false">
      <c r="A4" s="7" t="s">
        <v>37</v>
      </c>
      <c r="B4" s="8"/>
      <c r="C4" s="8"/>
      <c r="D4" s="8"/>
    </row>
    <row r="5" customFormat="false" ht="15" hidden="false" customHeight="false" outlineLevel="0" collapsed="false">
      <c r="A5" s="9" t="s">
        <v>38</v>
      </c>
      <c r="B5" s="6" t="n">
        <v>26000</v>
      </c>
      <c r="C5" s="2" t="s">
        <v>39</v>
      </c>
      <c r="D5" s="2" t="s">
        <v>40</v>
      </c>
    </row>
    <row r="7" customFormat="false" ht="15" hidden="false" customHeight="false" outlineLevel="0" collapsed="false">
      <c r="A7" s="7" t="s">
        <v>41</v>
      </c>
      <c r="B7" s="8"/>
      <c r="C7" s="8"/>
      <c r="D7" s="8"/>
    </row>
    <row r="8" customFormat="false" ht="15" hidden="false" customHeight="false" outlineLevel="0" collapsed="false">
      <c r="A8" s="9" t="s">
        <v>14</v>
      </c>
      <c r="B8" s="20" t="n">
        <v>2.5</v>
      </c>
      <c r="C8" s="2" t="s">
        <v>42</v>
      </c>
      <c r="D8" s="2" t="s">
        <v>43</v>
      </c>
    </row>
    <row r="9" customFormat="false" ht="15" hidden="false" customHeight="false" outlineLevel="0" collapsed="false">
      <c r="A9" s="9" t="s">
        <v>44</v>
      </c>
      <c r="B9" s="20" t="n">
        <v>3</v>
      </c>
      <c r="C9" s="2" t="s">
        <v>42</v>
      </c>
      <c r="D9" s="2" t="s">
        <v>43</v>
      </c>
    </row>
    <row r="10" customFormat="false" ht="15" hidden="false" customHeight="false" outlineLevel="0" collapsed="false">
      <c r="A10" s="9" t="s">
        <v>15</v>
      </c>
      <c r="B10" s="20" t="n">
        <v>1.4</v>
      </c>
      <c r="C10" s="2" t="s">
        <v>42</v>
      </c>
      <c r="D10" s="2" t="s">
        <v>43</v>
      </c>
    </row>
    <row r="11" customFormat="false" ht="15" hidden="false" customHeight="false" outlineLevel="0" collapsed="false">
      <c r="A11" s="9" t="s">
        <v>45</v>
      </c>
      <c r="B11" s="20" t="n">
        <v>1.5</v>
      </c>
      <c r="C11" s="2" t="s">
        <v>42</v>
      </c>
      <c r="D11" s="2" t="s">
        <v>43</v>
      </c>
    </row>
    <row r="12" customFormat="false" ht="15" hidden="false" customHeight="false" outlineLevel="0" collapsed="false">
      <c r="A12" s="9" t="s">
        <v>46</v>
      </c>
      <c r="B12" s="20" t="n">
        <v>3.5</v>
      </c>
      <c r="C12" s="2" t="s">
        <v>42</v>
      </c>
      <c r="D12" s="2" t="s">
        <v>43</v>
      </c>
    </row>
    <row r="14" customFormat="false" ht="15" hidden="false" customHeight="false" outlineLevel="0" collapsed="false">
      <c r="A14" s="7" t="s">
        <v>47</v>
      </c>
      <c r="B14" s="8"/>
      <c r="C14" s="8"/>
      <c r="D14" s="8"/>
    </row>
    <row r="15" customFormat="false" ht="15" hidden="false" customHeight="false" outlineLevel="0" collapsed="false">
      <c r="A15" s="9" t="s">
        <v>17</v>
      </c>
      <c r="B15" s="6" t="n">
        <v>400</v>
      </c>
      <c r="C15" s="2" t="s">
        <v>48</v>
      </c>
      <c r="D15" s="2" t="s">
        <v>49</v>
      </c>
    </row>
    <row r="16" customFormat="false" ht="15" hidden="false" customHeight="false" outlineLevel="0" collapsed="false">
      <c r="A16" s="9" t="s">
        <v>18</v>
      </c>
      <c r="B16" s="20" t="n">
        <v>0</v>
      </c>
      <c r="C16" s="2" t="s">
        <v>50</v>
      </c>
      <c r="D16" s="2" t="s">
        <v>51</v>
      </c>
    </row>
    <row r="17" customFormat="false" ht="15" hidden="false" customHeight="false" outlineLevel="0" collapsed="false">
      <c r="A17" s="9" t="s">
        <v>22</v>
      </c>
      <c r="B17" s="6" t="n">
        <v>150000</v>
      </c>
      <c r="C17" s="2" t="s">
        <v>52</v>
      </c>
      <c r="D17" s="2" t="s">
        <v>53</v>
      </c>
    </row>
    <row r="19" customFormat="false" ht="15" hidden="false" customHeight="false" outlineLevel="0" collapsed="false">
      <c r="A19" s="7" t="s">
        <v>54</v>
      </c>
      <c r="B19" s="8"/>
      <c r="C19" s="8"/>
      <c r="D19" s="8"/>
    </row>
    <row r="20" customFormat="false" ht="15" hidden="false" customHeight="false" outlineLevel="0" collapsed="false">
      <c r="A20" s="9" t="s">
        <v>55</v>
      </c>
      <c r="B20" s="6" t="n">
        <v>1.5</v>
      </c>
      <c r="C20" s="2" t="s">
        <v>56</v>
      </c>
      <c r="D20" s="2" t="s">
        <v>57</v>
      </c>
    </row>
    <row r="21" customFormat="false" ht="15" hidden="false" customHeight="false" outlineLevel="0" collapsed="false">
      <c r="A21" s="9" t="s">
        <v>58</v>
      </c>
      <c r="B21" s="6" t="n">
        <v>0.5</v>
      </c>
      <c r="C21" s="2" t="s">
        <v>59</v>
      </c>
      <c r="D21" s="2" t="s">
        <v>60</v>
      </c>
    </row>
    <row r="22" customFormat="false" ht="15" hidden="false" customHeight="false" outlineLevel="0" collapsed="false">
      <c r="A22" s="9" t="s">
        <v>61</v>
      </c>
      <c r="B22" s="6" t="n">
        <v>3</v>
      </c>
      <c r="C22" s="2" t="s">
        <v>62</v>
      </c>
      <c r="D22" s="2" t="s">
        <v>63</v>
      </c>
    </row>
    <row r="23" customFormat="false" ht="15" hidden="false" customHeight="false" outlineLevel="0" collapsed="false">
      <c r="A23" s="9" t="s">
        <v>64</v>
      </c>
      <c r="B23" s="6" t="n">
        <v>8</v>
      </c>
      <c r="C23" s="2" t="s">
        <v>65</v>
      </c>
      <c r="D23" s="2" t="s">
        <v>66</v>
      </c>
    </row>
    <row r="24" customFormat="false" ht="15" hidden="false" customHeight="false" outlineLevel="0" collapsed="false">
      <c r="A24" s="9" t="s">
        <v>67</v>
      </c>
      <c r="B24" s="6" t="n">
        <v>1</v>
      </c>
      <c r="C24" s="2" t="s">
        <v>65</v>
      </c>
      <c r="D24" s="2" t="s">
        <v>68</v>
      </c>
    </row>
    <row r="25" customFormat="false" ht="15" hidden="false" customHeight="false" outlineLevel="0" collapsed="false">
      <c r="A25" s="9" t="s">
        <v>69</v>
      </c>
      <c r="B25" s="6" t="n">
        <v>0.3</v>
      </c>
      <c r="C25" s="2" t="s">
        <v>70</v>
      </c>
      <c r="D25" s="2" t="s">
        <v>71</v>
      </c>
    </row>
    <row r="27" customFormat="false" ht="15" hidden="false" customHeight="false" outlineLevel="0" collapsed="false">
      <c r="A27" s="7" t="s">
        <v>27</v>
      </c>
      <c r="B27" s="8"/>
      <c r="C27" s="8"/>
      <c r="D27" s="8"/>
    </row>
    <row r="28" customFormat="false" ht="15" hidden="false" customHeight="false" outlineLevel="0" collapsed="false">
      <c r="A28" s="9" t="s">
        <v>72</v>
      </c>
      <c r="B28" s="6" t="n">
        <v>200000</v>
      </c>
      <c r="C28" s="2" t="s">
        <v>73</v>
      </c>
      <c r="D28" s="2" t="s">
        <v>74</v>
      </c>
    </row>
    <row r="29" customFormat="false" ht="15" hidden="false" customHeight="false" outlineLevel="0" collapsed="false">
      <c r="A29" s="9" t="s">
        <v>75</v>
      </c>
      <c r="B29" s="21" t="n">
        <v>0.1</v>
      </c>
      <c r="C29" s="2" t="s">
        <v>76</v>
      </c>
      <c r="D29" s="2" t="s">
        <v>77</v>
      </c>
    </row>
    <row r="30" customFormat="false" ht="15" hidden="false" customHeight="false" outlineLevel="0" collapsed="false">
      <c r="A30" s="9" t="s">
        <v>78</v>
      </c>
      <c r="B30" s="21" t="n">
        <v>0.15</v>
      </c>
      <c r="C30" s="2" t="s">
        <v>59</v>
      </c>
      <c r="D30" s="2" t="s">
        <v>79</v>
      </c>
    </row>
    <row r="31" customFormat="false" ht="15" hidden="false" customHeight="false" outlineLevel="0" collapsed="false">
      <c r="A31" s="9" t="s">
        <v>80</v>
      </c>
      <c r="B31" s="21" t="n">
        <v>0.05</v>
      </c>
      <c r="C31" s="2" t="s">
        <v>76</v>
      </c>
      <c r="D31" s="2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7.35" hidden="false" customHeight="false" outlineLevel="0" collapsed="false">
      <c r="A1" s="1" t="s">
        <v>82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9" t="s">
        <v>83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9" t="s">
        <v>84</v>
      </c>
    </row>
    <row r="6" customFormat="false" ht="15" hidden="false" customHeight="false" outlineLevel="0" collapsed="false">
      <c r="A6" s="2" t="s">
        <v>85</v>
      </c>
    </row>
    <row r="7" customFormat="false" ht="15" hidden="false" customHeight="false" outlineLevel="0" collapsed="false">
      <c r="A7" s="2" t="s">
        <v>86</v>
      </c>
    </row>
    <row r="8" customFormat="false" ht="15" hidden="false" customHeight="false" outlineLevel="0" collapsed="false">
      <c r="A8" s="2" t="s">
        <v>87</v>
      </c>
    </row>
    <row r="9" customFormat="false" ht="15" hidden="false" customHeight="false" outlineLevel="0" collapsed="false">
      <c r="A9" s="2" t="s">
        <v>88</v>
      </c>
    </row>
    <row r="10" customFormat="false" ht="15" hidden="false" customHeight="false" outlineLevel="0" collapsed="false">
      <c r="A10" s="2" t="s">
        <v>89</v>
      </c>
    </row>
    <row r="11" customFormat="false" ht="15" hidden="false" customHeight="false" outlineLevel="0" collapsed="false">
      <c r="A11" s="2" t="s">
        <v>90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9" t="s">
        <v>91</v>
      </c>
    </row>
    <row r="14" customFormat="false" ht="15" hidden="false" customHeight="false" outlineLevel="0" collapsed="false">
      <c r="A14" s="9" t="s">
        <v>92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9" t="s">
        <v>93</v>
      </c>
    </row>
    <row r="17" customFormat="false" ht="15" hidden="false" customHeight="false" outlineLevel="0" collapsed="false">
      <c r="A17" s="2" t="s">
        <v>94</v>
      </c>
    </row>
    <row r="18" customFormat="false" ht="15" hidden="false" customHeight="false" outlineLevel="0" collapsed="false">
      <c r="A18" s="2" t="s">
        <v>95</v>
      </c>
    </row>
    <row r="19" customFormat="false" ht="15" hidden="false" customHeight="false" outlineLevel="0" collapsed="false">
      <c r="A19" s="2" t="s">
        <v>96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9" t="s">
        <v>97</v>
      </c>
    </row>
    <row r="22" customFormat="false" ht="15" hidden="false" customHeight="false" outlineLevel="0" collapsed="false">
      <c r="A22" s="9" t="s">
        <v>98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9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2026-06-27T15:57:18Z</dcterms:created>
  <dc:creator>openpyxl</dc:creator>
  <dc:description/>
  <dc:language>en-US</dc:language>
  <cp:lastModifiedBy/>
  <dcterms:modified xsi:type="dcterms:W3CDTF">2026-06-27T15:57:18Z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