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Tổng qu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<sst xmlns="http://schemas.openxmlformats.org/spreadsheetml/2006/main" count="387" uniqueCount="174">
  <si>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ID</t>
  </si>
  <si>
    <t xml:space="preserve">Epic</t>
  </si>
  <si>
    <t xml:space="preserve">Hạng mục</t>
  </si>
  <si>
    <t xml:space="preserve">Luồng</t>
  </si>
  <si>
    <t xml:space="preserve">Ước lượng (ngày)</t>
  </si>
  <si>
    <t xml:space="preserve">Phụ thuộc</t>
  </si>
  <si>
    <t xml:space="preserve">Tuần</t>
  </si>
  <si>
    <t xml:space="preserve">Ưu tiên</t>
  </si>
  <si>
    <t xml:space="preserve">E1.1</t>
  </si>
  <si>
    <t xml:space="preserve">E1</t>
  </si>
  <si>
    <t xml:space="preserve">Repo, cấu trúc monolith, lint, biến môi trường</t>
  </si>
  <si>
    <t xml:space="preserve">Backend</t>
  </si>
  <si>
    <t xml:space="preserve">-</t>
  </si>
  <si>
    <t xml:space="preserve">1</t>
  </si>
  <si>
    <t xml:space="preserve">P0</t>
  </si>
  <si>
    <t xml:space="preserve">E1.2</t>
  </si>
  <si>
    <t xml:space="preserve">Docker Compose: Postgres+PostGIS, Redis</t>
  </si>
  <si>
    <t xml:space="preserve">E1.3</t>
  </si>
  <si>
    <t xml:space="preserve">CI/CD GitHub Actions (build, test, deploy)</t>
  </si>
  <si>
    <t xml:space="preserve">1-2</t>
  </si>
  <si>
    <t xml:space="preserve">E1.4</t>
  </si>
  <si>
    <t xml:space="preserve">Hạ tầng VPS + Postgres managed + domain/SSL</t>
  </si>
  <si>
    <t xml:space="preserve">E2.1</t>
  </si>
  <si>
    <t xml:space="preserve">E2</t>
  </si>
  <si>
    <t xml:space="preserve">Tích hợp OTP (Firebase Auth hoặc eSMS)</t>
  </si>
  <si>
    <t xml:space="preserve">2</t>
  </si>
  <si>
    <t xml:space="preserve">E2.2</t>
  </si>
  <si>
    <t xml:space="preserve">API đăng ký/đăng nhập, JWT, roles[]</t>
  </si>
  <si>
    <t xml:space="preserve">2-3</t>
  </si>
  <si>
    <t xml:space="preserve">E2.3</t>
  </si>
  <si>
    <t xml:space="preserve">Hồ sơ người dùng + upload avatar</t>
  </si>
  <si>
    <t xml:space="preserve">3</t>
  </si>
  <si>
    <t xml:space="preserve">E2.4</t>
  </si>
  <si>
    <t xml:space="preserve">KYC tài xế cơ bản (upload giấy tờ, trạng thái)</t>
  </si>
  <si>
    <t xml:space="preserve">P1</t>
  </si>
  <si>
    <t xml:space="preserve">E3.1</t>
  </si>
  <si>
    <t xml:space="preserve">E3</t>
  </si>
  <si>
    <t xml:space="preserve">Áp schema + migrations</t>
  </si>
  <si>
    <t xml:space="preserve">E3.2</t>
  </si>
  <si>
    <t xml:space="preserve">API Vehicles (CRUD)</t>
  </si>
  <si>
    <t xml:space="preserve">E3.3</t>
  </si>
  <si>
    <t xml:space="preserve">API Rides + gọi Goong Directions lưu route</t>
  </si>
  <si>
    <t xml:space="preserve">3-4</t>
  </si>
  <si>
    <t xml:space="preserve">E3.4</t>
  </si>
  <si>
    <t xml:space="preserve">API Bookings + ràng buộc ghế</t>
  </si>
  <si>
    <t xml:space="preserve">4</t>
  </si>
  <si>
    <t xml:space="preserve">E3.5</t>
  </si>
  <si>
    <t xml:space="preserve">Máy trạng thái chuyến/booking</t>
  </si>
  <si>
    <t xml:space="preserve">E4.1</t>
  </si>
  <si>
    <t xml:space="preserve">E4</t>
  </si>
  <si>
    <t xml:space="preserve">Truy vấn PostGIS on-demand (proximity + fp&lt;fd)</t>
  </si>
  <si>
    <t xml:space="preserve">E3.3,E3.4</t>
  </si>
  <si>
    <t xml:space="preserve">5</t>
  </si>
  <si>
    <t xml:space="preserve">E4.2</t>
  </si>
  <si>
    <t xml:space="preserve">Tham số hóa engine (auto chặt / dispatch lỏng)</t>
  </si>
  <si>
    <t xml:space="preserve">5-6</t>
  </si>
  <si>
    <t xml:space="preserve">E4.3</t>
  </si>
  <si>
    <t xml:space="preserve">Chấm điểm &amp; xếp hạng ứng viên</t>
  </si>
  <si>
    <t xml:space="preserve">6</t>
  </si>
  <si>
    <t xml:space="preserve">E4.4</t>
  </si>
  <si>
    <t xml:space="preserve">Reactive matching + job 15 phút (BullMQ/Redis)</t>
  </si>
  <si>
    <t xml:space="preserve">6-7</t>
  </si>
  <si>
    <t xml:space="preserve">E4.5</t>
  </si>
  <si>
    <t xml:space="preserve">Tối ưu index + đơn giản hóa polyline</t>
  </si>
  <si>
    <t xml:space="preserve">7</t>
  </si>
  <si>
    <t xml:space="preserve">E5.1</t>
  </si>
  <si>
    <t xml:space="preserve">E5</t>
  </si>
  <si>
    <t xml:space="preserve">WebSocket gateway (NestJS)</t>
  </si>
  <si>
    <t xml:space="preserve">E5.2</t>
  </si>
  <si>
    <t xml:space="preserve">Nhận ping GPS tài xế → Redis presence</t>
  </si>
  <si>
    <t xml:space="preserve">E5.3</t>
  </si>
  <si>
    <t xml:space="preserve">Đẩy vị trí + ETA tới khách &amp; điều phối</t>
  </si>
  <si>
    <t xml:space="preserve">E5.4</t>
  </si>
  <si>
    <t xml:space="preserve">Theo dõi trạng thái chuyến realtime</t>
  </si>
  <si>
    <t xml:space="preserve">8</t>
  </si>
  <si>
    <t xml:space="preserve">E6.1</t>
  </si>
  <si>
    <t xml:space="preserve">E6</t>
  </si>
  <si>
    <t xml:space="preserve">Scaffold app + auth + điều hướng</t>
  </si>
  <si>
    <t xml:space="preserve">Mobile</t>
  </si>
  <si>
    <t xml:space="preserve">E6.2</t>
  </si>
  <si>
    <t xml:space="preserve">Màn tìm chuyến (điểm đi/đến, map Goong)</t>
  </si>
  <si>
    <t xml:space="preserve">E6.1,E3.3</t>
  </si>
  <si>
    <t xml:space="preserve">4-5</t>
  </si>
  <si>
    <t xml:space="preserve">E6.3</t>
  </si>
  <si>
    <t xml:space="preserve">Đặt chỗ + xem trạng thái ghép</t>
  </si>
  <si>
    <t xml:space="preserve">E6.2,E3.4</t>
  </si>
  <si>
    <t xml:space="preserve">E6.4</t>
  </si>
  <si>
    <t xml:space="preserve">Theo dõi chuyến realtime trên bản đồ</t>
  </si>
  <si>
    <t xml:space="preserve">E6.3,E5.3</t>
  </si>
  <si>
    <t xml:space="preserve">E6.5</t>
  </si>
  <si>
    <t xml:space="preserve">Chat + gọi tài xế</t>
  </si>
  <si>
    <t xml:space="preserve">E10</t>
  </si>
  <si>
    <t xml:space="preserve">E6.6</t>
  </si>
  <si>
    <t xml:space="preserve">Đánh giá sau chuyến</t>
  </si>
  <si>
    <t xml:space="preserve">E6.7</t>
  </si>
  <si>
    <t xml:space="preserve">Đánh bóng UI + xử lý lỗi</t>
  </si>
  <si>
    <t xml:space="preserve">E7.1</t>
  </si>
  <si>
    <t xml:space="preserve">E7</t>
  </si>
  <si>
    <t xml:space="preserve">Scaffold + auth (chung codebase Flutter)</t>
  </si>
  <si>
    <t xml:space="preserve">E7.2</t>
  </si>
  <si>
    <t xml:space="preserve">Đăng chuyến (chọn tuyến, ghế, giá)</t>
  </si>
  <si>
    <t xml:space="preserve">E7.3</t>
  </si>
  <si>
    <t xml:space="preserve">Quản lý ghế + xác nhận khách</t>
  </si>
  <si>
    <t xml:space="preserve">7-8</t>
  </si>
  <si>
    <t xml:space="preserve">E7.4</t>
  </si>
  <si>
    <t xml:space="preserve">GPS nền + cập nhật vị trí</t>
  </si>
  <si>
    <t xml:space="preserve">8-9</t>
  </si>
  <si>
    <t xml:space="preserve">E7.5</t>
  </si>
  <si>
    <t xml:space="preserve">Chat + gọi khách</t>
  </si>
  <si>
    <t xml:space="preserve">9</t>
  </si>
  <si>
    <t xml:space="preserve">E7.6</t>
  </si>
  <si>
    <t xml:space="preserve">Lịch sử chuyến</t>
  </si>
  <si>
    <t xml:space="preserve">10</t>
  </si>
  <si>
    <t xml:space="preserve">E8.1</t>
  </si>
  <si>
    <t xml:space="preserve">E8</t>
  </si>
  <si>
    <t xml:space="preserve">Scaffold web (React) + auth/role</t>
  </si>
  <si>
    <t xml:space="preserve">Frontend</t>
  </si>
  <si>
    <t xml:space="preserve">E8.2</t>
  </si>
  <si>
    <t xml:space="preserve">Hàng đợi yêu cầu (realtime)</t>
  </si>
  <si>
    <t xml:space="preserve">E4.4,E5.1</t>
  </si>
  <si>
    <t xml:space="preserve">E8.3</t>
  </si>
  <si>
    <t xml:space="preserve">Bản đồ trực tiếp + vị trí tài xế</t>
  </si>
  <si>
    <t xml:space="preserve">E8.4</t>
  </si>
  <si>
    <t xml:space="preserve">Ghép tay (engine lỏng + khóa claim)</t>
  </si>
  <si>
    <t xml:space="preserve">E8.5</t>
  </si>
  <si>
    <t xml:space="preserve">Quản lý người dùng/tài xế/chuyến</t>
  </si>
  <si>
    <t xml:space="preserve">E8.6</t>
  </si>
  <si>
    <t xml:space="preserve">Khiếu nại &amp; hỗ trợ</t>
  </si>
  <si>
    <t xml:space="preserve">E9.1</t>
  </si>
  <si>
    <t xml:space="preserve">E9</t>
  </si>
  <si>
    <t xml:space="preserve">FCM push (chuyến mới, ghép thành công)</t>
  </si>
  <si>
    <t xml:space="preserve">E9.2</t>
  </si>
  <si>
    <t xml:space="preserve">SMS brandname + template</t>
  </si>
  <si>
    <t xml:space="preserve">E10.1</t>
  </si>
  <si>
    <t xml:space="preserve">Backend chat (WebSocket rooms, lưu lịch sử)</t>
  </si>
  <si>
    <t xml:space="preserve">E11.1</t>
  </si>
  <si>
    <t xml:space="preserve">E11</t>
  </si>
  <si>
    <t xml:space="preserve">Ghi nhận transactions (gross, fee 10%, net)</t>
  </si>
  <si>
    <t xml:space="preserve">E11.2</t>
  </si>
  <si>
    <t xml:space="preserve">Báo cáo đối soát tài xế</t>
  </si>
  <si>
    <t xml:space="preserve">E12.1</t>
  </si>
  <si>
    <t xml:space="preserve">E12</t>
  </si>
  <si>
    <t xml:space="preserve">Viết test + QA tích hợp</t>
  </si>
  <si>
    <t xml:space="preserve">QA</t>
  </si>
  <si>
    <t xml:space="preserve">E6,E7,E8</t>
  </si>
  <si>
    <t xml:space="preserve">E12.2</t>
  </si>
  <si>
    <t xml:space="preserve">UAT nội bộ</t>
  </si>
  <si>
    <t xml:space="preserve">11</t>
  </si>
  <si>
    <t xml:space="preserve">E12.3</t>
  </si>
  <si>
    <t xml:space="preserve">Pilot tuyến Vinh–Hà Nội (vận hành thật)</t>
  </si>
  <si>
    <t xml:space="preserve">12</t>
  </si>
  <si>
    <t xml:space="preserve">TỔNG</t>
  </si>
  <si>
    <t xml:space="preserve">Tên</t>
  </si>
  <si>
    <t xml:space="preserve">Số ngày</t>
  </si>
  <si>
    <t xml:space="preserve">Tỷ trọng</t>
  </si>
  <si>
    <t xml:space="preserve">Nền tảng &amp; DevOps</t>
  </si>
  <si>
    <t xml:space="preserve">Auth &amp; hồ sơ</t>
  </si>
  <si>
    <t xml:space="preserve">Backend cốt lõi</t>
  </si>
  <si>
    <t xml:space="preserve">Engine ghép</t>
  </si>
  <si>
    <t xml:space="preserve">Real-time &amp; GPS</t>
  </si>
  <si>
    <t xml:space="preserve">App Hành khách</t>
  </si>
  <si>
    <t xml:space="preserve">App Tài xế</t>
  </si>
  <si>
    <t xml:space="preserve">Bàn điều phối</t>
  </si>
  <si>
    <t xml:space="preserve">Thông báo</t>
  </si>
  <si>
    <t xml:space="preserve">Chat in-app</t>
  </si>
  <si>
    <t xml:space="preserve">Thanh toán &amp; đối soát</t>
  </si>
  <si>
    <t xml:space="preserve">QA / UAT / Pilot</t>
  </si>
  <si>
    <t xml:space="preserve">Tổng ngày công</t>
  </si>
  <si>
    <t xml:space="preserve">Buffer 25%</t>
  </si>
  <si>
    <t xml:space="preserve">Tổng có buffer</t>
  </si>
  <si>
    <t xml:space="preserve">• Giả định: 1 ngày công = 1 người làm 1 ngày.</t>
  </si>
  <si>
    <t xml:space="preserve">• Team khuyến nghị: 2 Backend, 1-2 Mobile, 1 Frontend, QA/PM chia sẻ → ~12 tuần.</t>
  </si>
  <si>
    <t xml:space="preserve">• Đường găng: Backend cốt lõi → Engine ghép → Real-time (mọi thứ chờ API).</t>
  </si>
  <si>
    <t xml:space="preserve">• Ước lượng trung tính, chưa gồm buffer ở cột trên; cộng buffer khi cam kết deadline.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</si>
</sst>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8"/>
    <col collapsed="false" customWidth="true" hidden="false" outlineLevel="0" max="8" min="8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3" t="s">
        <v>8</v>
      </c>
      <c r="B2" s="3" t="s">
        <v>9</v>
      </c>
      <c r="C2" s="4" t="s">
        <v>10</v>
      </c>
      <c r="D2" s="3" t="s">
        <v>11</v>
      </c>
      <c r="E2" s="5" t="n">
        <v>1.5</v>
      </c>
      <c r="F2" s="3" t="s">
        <v>12</v>
      </c>
      <c r="G2" s="3" t="s">
        <v>13</v>
      </c>
      <c r="H2" s="3" t="s">
        <v>14</v>
      </c>
    </row>
    <row r="3" customFormat="false" ht="15" hidden="false" customHeight="false" outlineLevel="0" collapsed="false">
      <c r="A3" s="3" t="s">
        <v>15</v>
      </c>
      <c r="B3" s="3" t="s">
        <v>9</v>
      </c>
      <c r="C3" s="4" t="s">
        <v>16</v>
      </c>
      <c r="D3" s="3" t="s">
        <v>11</v>
      </c>
      <c r="E3" s="5" t="n">
        <v>1.5</v>
      </c>
      <c r="F3" s="3" t="s">
        <v>12</v>
      </c>
      <c r="G3" s="3" t="s">
        <v>13</v>
      </c>
      <c r="H3" s="3" t="s">
        <v>14</v>
      </c>
    </row>
    <row r="4" customFormat="false" ht="15" hidden="false" customHeight="false" outlineLevel="0" collapsed="false">
      <c r="A4" s="3" t="s">
        <v>17</v>
      </c>
      <c r="B4" s="3" t="s">
        <v>9</v>
      </c>
      <c r="C4" s="4" t="s">
        <v>18</v>
      </c>
      <c r="D4" s="3" t="s">
        <v>11</v>
      </c>
      <c r="E4" s="5" t="n">
        <v>2</v>
      </c>
      <c r="F4" s="3" t="s">
        <v>8</v>
      </c>
      <c r="G4" s="3" t="s">
        <v>19</v>
      </c>
      <c r="H4" s="3" t="s">
        <v>14</v>
      </c>
    </row>
    <row r="5" customFormat="false" ht="26.85" hidden="false" customHeight="false" outlineLevel="0" collapsed="false">
      <c r="A5" s="3" t="s">
        <v>20</v>
      </c>
      <c r="B5" s="3" t="s">
        <v>9</v>
      </c>
      <c r="C5" s="4" t="s">
        <v>21</v>
      </c>
      <c r="D5" s="3" t="s">
        <v>11</v>
      </c>
      <c r="E5" s="5" t="n">
        <v>3</v>
      </c>
      <c r="F5" s="3" t="s">
        <v>12</v>
      </c>
      <c r="G5" s="3" t="s">
        <v>19</v>
      </c>
      <c r="H5" s="3" t="s">
        <v>14</v>
      </c>
    </row>
    <row r="6" customFormat="false" ht="15" hidden="false" customHeight="false" outlineLevel="0" collapsed="false">
      <c r="A6" s="3" t="s">
        <v>22</v>
      </c>
      <c r="B6" s="3" t="s">
        <v>23</v>
      </c>
      <c r="C6" s="4" t="s">
        <v>24</v>
      </c>
      <c r="D6" s="3" t="s">
        <v>11</v>
      </c>
      <c r="E6" s="5" t="n">
        <v>3</v>
      </c>
      <c r="F6" s="3" t="s">
        <v>9</v>
      </c>
      <c r="G6" s="3" t="s">
        <v>25</v>
      </c>
      <c r="H6" s="3" t="s">
        <v>14</v>
      </c>
    </row>
    <row r="7" customFormat="false" ht="15" hidden="false" customHeight="false" outlineLevel="0" collapsed="false">
      <c r="A7" s="3" t="s">
        <v>26</v>
      </c>
      <c r="B7" s="3" t="s">
        <v>23</v>
      </c>
      <c r="C7" s="4" t="s">
        <v>27</v>
      </c>
      <c r="D7" s="3" t="s">
        <v>11</v>
      </c>
      <c r="E7" s="5" t="n">
        <v>3</v>
      </c>
      <c r="F7" s="3" t="s">
        <v>22</v>
      </c>
      <c r="G7" s="3" t="s">
        <v>28</v>
      </c>
      <c r="H7" s="3" t="s">
        <v>14</v>
      </c>
    </row>
    <row r="8" customFormat="false" ht="15" hidden="false" customHeight="false" outlineLevel="0" collapsed="false">
      <c r="A8" s="3" t="s">
        <v>29</v>
      </c>
      <c r="B8" s="3" t="s">
        <v>23</v>
      </c>
      <c r="C8" s="4" t="s">
        <v>30</v>
      </c>
      <c r="D8" s="3" t="s">
        <v>11</v>
      </c>
      <c r="E8" s="5" t="n">
        <v>2</v>
      </c>
      <c r="F8" s="3" t="s">
        <v>26</v>
      </c>
      <c r="G8" s="3" t="s">
        <v>31</v>
      </c>
      <c r="H8" s="3" t="s">
        <v>14</v>
      </c>
    </row>
    <row r="9" customFormat="false" ht="15" hidden="false" customHeight="false" outlineLevel="0" collapsed="false">
      <c r="A9" s="3" t="s">
        <v>32</v>
      </c>
      <c r="B9" s="3" t="s">
        <v>23</v>
      </c>
      <c r="C9" s="4" t="s">
        <v>33</v>
      </c>
      <c r="D9" s="3" t="s">
        <v>11</v>
      </c>
      <c r="E9" s="5" t="n">
        <v>2</v>
      </c>
      <c r="F9" s="3" t="s">
        <v>26</v>
      </c>
      <c r="G9" s="3" t="s">
        <v>31</v>
      </c>
      <c r="H9" s="3" t="s">
        <v>34</v>
      </c>
    </row>
    <row r="10" customFormat="false" ht="15" hidden="false" customHeight="false" outlineLevel="0" collapsed="false">
      <c r="A10" s="3" t="s">
        <v>35</v>
      </c>
      <c r="B10" s="3" t="s">
        <v>36</v>
      </c>
      <c r="C10" s="4" t="s">
        <v>37</v>
      </c>
      <c r="D10" s="3" t="s">
        <v>11</v>
      </c>
      <c r="E10" s="5" t="n">
        <v>2</v>
      </c>
      <c r="F10" s="3" t="s">
        <v>9</v>
      </c>
      <c r="G10" s="3" t="s">
        <v>25</v>
      </c>
      <c r="H10" s="3" t="s">
        <v>14</v>
      </c>
    </row>
    <row r="11" customFormat="false" ht="15" hidden="false" customHeight="false" outlineLevel="0" collapsed="false">
      <c r="A11" s="3" t="s">
        <v>38</v>
      </c>
      <c r="B11" s="3" t="s">
        <v>36</v>
      </c>
      <c r="C11" s="4" t="s">
        <v>39</v>
      </c>
      <c r="D11" s="3" t="s">
        <v>11</v>
      </c>
      <c r="E11" s="5" t="n">
        <v>2</v>
      </c>
      <c r="F11" s="3" t="s">
        <v>35</v>
      </c>
      <c r="G11" s="3" t="s">
        <v>31</v>
      </c>
      <c r="H11" s="3" t="s">
        <v>14</v>
      </c>
    </row>
    <row r="12" customFormat="false" ht="15" hidden="false" customHeight="false" outlineLevel="0" collapsed="false">
      <c r="A12" s="3" t="s">
        <v>40</v>
      </c>
      <c r="B12" s="3" t="s">
        <v>36</v>
      </c>
      <c r="C12" s="4" t="s">
        <v>41</v>
      </c>
      <c r="D12" s="3" t="s">
        <v>11</v>
      </c>
      <c r="E12" s="5" t="n">
        <v>4</v>
      </c>
      <c r="F12" s="3" t="s">
        <v>35</v>
      </c>
      <c r="G12" s="3" t="s">
        <v>42</v>
      </c>
      <c r="H12" s="3" t="s">
        <v>14</v>
      </c>
    </row>
    <row r="13" customFormat="false" ht="15" hidden="false" customHeight="false" outlineLevel="0" collapsed="false">
      <c r="A13" s="3" t="s">
        <v>43</v>
      </c>
      <c r="B13" s="3" t="s">
        <v>36</v>
      </c>
      <c r="C13" s="4" t="s">
        <v>44</v>
      </c>
      <c r="D13" s="3" t="s">
        <v>11</v>
      </c>
      <c r="E13" s="5" t="n">
        <v>4</v>
      </c>
      <c r="F13" s="3" t="s">
        <v>40</v>
      </c>
      <c r="G13" s="3" t="s">
        <v>45</v>
      </c>
      <c r="H13" s="3" t="s">
        <v>14</v>
      </c>
    </row>
    <row r="14" customFormat="false" ht="15" hidden="false" customHeight="false" outlineLevel="0" collapsed="false">
      <c r="A14" s="3" t="s">
        <v>46</v>
      </c>
      <c r="B14" s="3" t="s">
        <v>36</v>
      </c>
      <c r="C14" s="4" t="s">
        <v>47</v>
      </c>
      <c r="D14" s="3" t="s">
        <v>11</v>
      </c>
      <c r="E14" s="5" t="n">
        <v>2</v>
      </c>
      <c r="F14" s="3" t="s">
        <v>43</v>
      </c>
      <c r="G14" s="3" t="s">
        <v>45</v>
      </c>
      <c r="H14" s="3" t="s">
        <v>14</v>
      </c>
    </row>
    <row r="15" customFormat="false" ht="15" hidden="false" customHeight="false" outlineLevel="0" collapsed="false">
      <c r="A15" s="3" t="s">
        <v>48</v>
      </c>
      <c r="B15" s="3" t="s">
        <v>49</v>
      </c>
      <c r="C15" s="4" t="s">
        <v>50</v>
      </c>
      <c r="D15" s="3" t="s">
        <v>11</v>
      </c>
      <c r="E15" s="5" t="n">
        <v>4</v>
      </c>
      <c r="F15" s="3" t="s">
        <v>51</v>
      </c>
      <c r="G15" s="3" t="s">
        <v>52</v>
      </c>
      <c r="H15" s="3" t="s">
        <v>14</v>
      </c>
    </row>
    <row r="16" customFormat="false" ht="15" hidden="false" customHeight="false" outlineLevel="0" collapsed="false">
      <c r="A16" s="3" t="s">
        <v>53</v>
      </c>
      <c r="B16" s="3" t="s">
        <v>49</v>
      </c>
      <c r="C16" s="4" t="s">
        <v>54</v>
      </c>
      <c r="D16" s="3" t="s">
        <v>11</v>
      </c>
      <c r="E16" s="5" t="n">
        <v>2</v>
      </c>
      <c r="F16" s="3" t="s">
        <v>48</v>
      </c>
      <c r="G16" s="3" t="s">
        <v>55</v>
      </c>
      <c r="H16" s="3" t="s">
        <v>14</v>
      </c>
    </row>
    <row r="17" customFormat="false" ht="15" hidden="false" customHeight="false" outlineLevel="0" collapsed="false">
      <c r="A17" s="3" t="s">
        <v>56</v>
      </c>
      <c r="B17" s="3" t="s">
        <v>49</v>
      </c>
      <c r="C17" s="4" t="s">
        <v>57</v>
      </c>
      <c r="D17" s="3" t="s">
        <v>11</v>
      </c>
      <c r="E17" s="5" t="n">
        <v>3</v>
      </c>
      <c r="F17" s="3" t="s">
        <v>48</v>
      </c>
      <c r="G17" s="3" t="s">
        <v>58</v>
      </c>
      <c r="H17" s="3" t="s">
        <v>14</v>
      </c>
    </row>
    <row r="18" customFormat="false" ht="15" hidden="false" customHeight="false" outlineLevel="0" collapsed="false">
      <c r="A18" s="3" t="s">
        <v>59</v>
      </c>
      <c r="B18" s="3" t="s">
        <v>49</v>
      </c>
      <c r="C18" s="4" t="s">
        <v>60</v>
      </c>
      <c r="D18" s="3" t="s">
        <v>11</v>
      </c>
      <c r="E18" s="5" t="n">
        <v>4</v>
      </c>
      <c r="F18" s="3" t="s">
        <v>48</v>
      </c>
      <c r="G18" s="3" t="s">
        <v>61</v>
      </c>
      <c r="H18" s="3" t="s">
        <v>14</v>
      </c>
    </row>
    <row r="19" customFormat="false" ht="15" hidden="false" customHeight="false" outlineLevel="0" collapsed="false">
      <c r="A19" s="3" t="s">
        <v>62</v>
      </c>
      <c r="B19" s="3" t="s">
        <v>49</v>
      </c>
      <c r="C19" s="4" t="s">
        <v>63</v>
      </c>
      <c r="D19" s="3" t="s">
        <v>11</v>
      </c>
      <c r="E19" s="5" t="n">
        <v>2</v>
      </c>
      <c r="F19" s="3" t="s">
        <v>48</v>
      </c>
      <c r="G19" s="3" t="s">
        <v>64</v>
      </c>
      <c r="H19" s="3" t="s">
        <v>34</v>
      </c>
    </row>
    <row r="20" customFormat="false" ht="15" hidden="false" customHeight="false" outlineLevel="0" collapsed="false">
      <c r="A20" s="3" t="s">
        <v>65</v>
      </c>
      <c r="B20" s="3" t="s">
        <v>66</v>
      </c>
      <c r="C20" s="4" t="s">
        <v>67</v>
      </c>
      <c r="D20" s="3" t="s">
        <v>11</v>
      </c>
      <c r="E20" s="5" t="n">
        <v>3</v>
      </c>
      <c r="F20" s="3" t="s">
        <v>36</v>
      </c>
      <c r="G20" s="3" t="s">
        <v>58</v>
      </c>
      <c r="H20" s="3" t="s">
        <v>14</v>
      </c>
    </row>
    <row r="21" customFormat="false" ht="15" hidden="false" customHeight="false" outlineLevel="0" collapsed="false">
      <c r="A21" s="3" t="s">
        <v>68</v>
      </c>
      <c r="B21" s="3" t="s">
        <v>66</v>
      </c>
      <c r="C21" s="4" t="s">
        <v>69</v>
      </c>
      <c r="D21" s="3" t="s">
        <v>11</v>
      </c>
      <c r="E21" s="5" t="n">
        <v>3</v>
      </c>
      <c r="F21" s="3" t="s">
        <v>65</v>
      </c>
      <c r="G21" s="3" t="s">
        <v>61</v>
      </c>
      <c r="H21" s="3" t="s">
        <v>14</v>
      </c>
    </row>
    <row r="22" customFormat="false" ht="15" hidden="false" customHeight="false" outlineLevel="0" collapsed="false">
      <c r="A22" s="3" t="s">
        <v>70</v>
      </c>
      <c r="B22" s="3" t="s">
        <v>66</v>
      </c>
      <c r="C22" s="4" t="s">
        <v>71</v>
      </c>
      <c r="D22" s="3" t="s">
        <v>11</v>
      </c>
      <c r="E22" s="5" t="n">
        <v>3</v>
      </c>
      <c r="F22" s="3" t="s">
        <v>68</v>
      </c>
      <c r="G22" s="3" t="s">
        <v>64</v>
      </c>
      <c r="H22" s="3" t="s">
        <v>14</v>
      </c>
    </row>
    <row r="23" customFormat="false" ht="15" hidden="false" customHeight="false" outlineLevel="0" collapsed="false">
      <c r="A23" s="3" t="s">
        <v>72</v>
      </c>
      <c r="B23" s="3" t="s">
        <v>66</v>
      </c>
      <c r="C23" s="4" t="s">
        <v>73</v>
      </c>
      <c r="D23" s="3" t="s">
        <v>11</v>
      </c>
      <c r="E23" s="5" t="n">
        <v>3</v>
      </c>
      <c r="F23" s="3" t="s">
        <v>70</v>
      </c>
      <c r="G23" s="3" t="s">
        <v>74</v>
      </c>
      <c r="H23" s="3" t="s">
        <v>14</v>
      </c>
    </row>
    <row r="24" customFormat="false" ht="15" hidden="false" customHeight="false" outlineLevel="0" collapsed="false">
      <c r="A24" s="3" t="s">
        <v>75</v>
      </c>
      <c r="B24" s="3" t="s">
        <v>76</v>
      </c>
      <c r="C24" s="4" t="s">
        <v>77</v>
      </c>
      <c r="D24" s="3" t="s">
        <v>78</v>
      </c>
      <c r="E24" s="5" t="n">
        <v>4</v>
      </c>
      <c r="F24" s="3" t="s">
        <v>23</v>
      </c>
      <c r="G24" s="3" t="s">
        <v>31</v>
      </c>
      <c r="H24" s="3" t="s">
        <v>14</v>
      </c>
    </row>
    <row r="25" customFormat="false" ht="15" hidden="false" customHeight="false" outlineLevel="0" collapsed="false">
      <c r="A25" s="3" t="s">
        <v>79</v>
      </c>
      <c r="B25" s="3" t="s">
        <v>76</v>
      </c>
      <c r="C25" s="4" t="s">
        <v>80</v>
      </c>
      <c r="D25" s="3" t="s">
        <v>78</v>
      </c>
      <c r="E25" s="5" t="n">
        <v>5</v>
      </c>
      <c r="F25" s="3" t="s">
        <v>81</v>
      </c>
      <c r="G25" s="3" t="s">
        <v>82</v>
      </c>
      <c r="H25" s="3" t="s">
        <v>14</v>
      </c>
    </row>
    <row r="26" customFormat="false" ht="15" hidden="false" customHeight="false" outlineLevel="0" collapsed="false">
      <c r="A26" s="3" t="s">
        <v>83</v>
      </c>
      <c r="B26" s="3" t="s">
        <v>76</v>
      </c>
      <c r="C26" s="4" t="s">
        <v>84</v>
      </c>
      <c r="D26" s="3" t="s">
        <v>78</v>
      </c>
      <c r="E26" s="5" t="n">
        <v>4</v>
      </c>
      <c r="F26" s="3" t="s">
        <v>85</v>
      </c>
      <c r="G26" s="3" t="s">
        <v>55</v>
      </c>
      <c r="H26" s="3" t="s">
        <v>14</v>
      </c>
    </row>
    <row r="27" customFormat="false" ht="15" hidden="false" customHeight="false" outlineLevel="0" collapsed="false">
      <c r="A27" s="3" t="s">
        <v>86</v>
      </c>
      <c r="B27" s="3" t="s">
        <v>76</v>
      </c>
      <c r="C27" s="4" t="s">
        <v>87</v>
      </c>
      <c r="D27" s="3" t="s">
        <v>78</v>
      </c>
      <c r="E27" s="5" t="n">
        <v>4</v>
      </c>
      <c r="F27" s="3" t="s">
        <v>88</v>
      </c>
      <c r="G27" s="3" t="s">
        <v>61</v>
      </c>
      <c r="H27" s="3" t="s">
        <v>14</v>
      </c>
    </row>
    <row r="28" customFormat="false" ht="15" hidden="false" customHeight="false" outlineLevel="0" collapsed="false">
      <c r="A28" s="3" t="s">
        <v>89</v>
      </c>
      <c r="B28" s="3" t="s">
        <v>76</v>
      </c>
      <c r="C28" s="4" t="s">
        <v>90</v>
      </c>
      <c r="D28" s="3" t="s">
        <v>78</v>
      </c>
      <c r="E28" s="5" t="n">
        <v>4</v>
      </c>
      <c r="F28" s="3" t="s">
        <v>91</v>
      </c>
      <c r="G28" s="3" t="s">
        <v>64</v>
      </c>
      <c r="H28" s="3" t="s">
        <v>14</v>
      </c>
    </row>
    <row r="29" customFormat="false" ht="15" hidden="false" customHeight="false" outlineLevel="0" collapsed="false">
      <c r="A29" s="3" t="s">
        <v>92</v>
      </c>
      <c r="B29" s="3" t="s">
        <v>76</v>
      </c>
      <c r="C29" s="4" t="s">
        <v>93</v>
      </c>
      <c r="D29" s="3" t="s">
        <v>78</v>
      </c>
      <c r="E29" s="5" t="n">
        <v>2</v>
      </c>
      <c r="F29" s="3" t="s">
        <v>83</v>
      </c>
      <c r="G29" s="3" t="s">
        <v>74</v>
      </c>
      <c r="H29" s="3" t="s">
        <v>34</v>
      </c>
    </row>
    <row r="30" customFormat="false" ht="15" hidden="false" customHeight="false" outlineLevel="0" collapsed="false">
      <c r="A30" s="3" t="s">
        <v>94</v>
      </c>
      <c r="B30" s="3" t="s">
        <v>76</v>
      </c>
      <c r="C30" s="4" t="s">
        <v>95</v>
      </c>
      <c r="D30" s="3" t="s">
        <v>78</v>
      </c>
      <c r="E30" s="5" t="n">
        <v>2</v>
      </c>
      <c r="F30" s="3" t="s">
        <v>86</v>
      </c>
      <c r="G30" s="3" t="s">
        <v>74</v>
      </c>
      <c r="H30" s="3" t="s">
        <v>34</v>
      </c>
    </row>
    <row r="31" customFormat="false" ht="15" hidden="false" customHeight="false" outlineLevel="0" collapsed="false">
      <c r="A31" s="3" t="s">
        <v>96</v>
      </c>
      <c r="B31" s="3" t="s">
        <v>97</v>
      </c>
      <c r="C31" s="4" t="s">
        <v>98</v>
      </c>
      <c r="D31" s="3" t="s">
        <v>78</v>
      </c>
      <c r="E31" s="5" t="n">
        <v>3</v>
      </c>
      <c r="F31" s="3" t="s">
        <v>23</v>
      </c>
      <c r="G31" s="3" t="s">
        <v>58</v>
      </c>
      <c r="H31" s="3" t="s">
        <v>14</v>
      </c>
    </row>
    <row r="32" customFormat="false" ht="15" hidden="false" customHeight="false" outlineLevel="0" collapsed="false">
      <c r="A32" s="3" t="s">
        <v>99</v>
      </c>
      <c r="B32" s="3" t="s">
        <v>97</v>
      </c>
      <c r="C32" s="4" t="s">
        <v>100</v>
      </c>
      <c r="D32" s="3" t="s">
        <v>78</v>
      </c>
      <c r="E32" s="5" t="n">
        <v>5</v>
      </c>
      <c r="F32" s="3" t="s">
        <v>40</v>
      </c>
      <c r="G32" s="3" t="s">
        <v>61</v>
      </c>
      <c r="H32" s="3" t="s">
        <v>14</v>
      </c>
    </row>
    <row r="33" customFormat="false" ht="15" hidden="false" customHeight="false" outlineLevel="0" collapsed="false">
      <c r="A33" s="3" t="s">
        <v>101</v>
      </c>
      <c r="B33" s="3" t="s">
        <v>97</v>
      </c>
      <c r="C33" s="4" t="s">
        <v>102</v>
      </c>
      <c r="D33" s="3" t="s">
        <v>78</v>
      </c>
      <c r="E33" s="5" t="n">
        <v>4</v>
      </c>
      <c r="F33" s="3" t="s">
        <v>43</v>
      </c>
      <c r="G33" s="3" t="s">
        <v>103</v>
      </c>
      <c r="H33" s="3" t="s">
        <v>14</v>
      </c>
    </row>
    <row r="34" customFormat="false" ht="15" hidden="false" customHeight="false" outlineLevel="0" collapsed="false">
      <c r="A34" s="3" t="s">
        <v>104</v>
      </c>
      <c r="B34" s="3" t="s">
        <v>97</v>
      </c>
      <c r="C34" s="4" t="s">
        <v>105</v>
      </c>
      <c r="D34" s="3" t="s">
        <v>78</v>
      </c>
      <c r="E34" s="5" t="n">
        <v>4</v>
      </c>
      <c r="F34" s="3" t="s">
        <v>68</v>
      </c>
      <c r="G34" s="3" t="s">
        <v>106</v>
      </c>
      <c r="H34" s="3" t="s">
        <v>14</v>
      </c>
    </row>
    <row r="35" customFormat="false" ht="15" hidden="false" customHeight="false" outlineLevel="0" collapsed="false">
      <c r="A35" s="3" t="s">
        <v>107</v>
      </c>
      <c r="B35" s="3" t="s">
        <v>97</v>
      </c>
      <c r="C35" s="4" t="s">
        <v>108</v>
      </c>
      <c r="D35" s="3" t="s">
        <v>78</v>
      </c>
      <c r="E35" s="5" t="n">
        <v>3</v>
      </c>
      <c r="F35" s="3" t="s">
        <v>91</v>
      </c>
      <c r="G35" s="3" t="s">
        <v>109</v>
      </c>
      <c r="H35" s="3" t="s">
        <v>14</v>
      </c>
    </row>
    <row r="36" customFormat="false" ht="15" hidden="false" customHeight="false" outlineLevel="0" collapsed="false">
      <c r="A36" s="3" t="s">
        <v>110</v>
      </c>
      <c r="B36" s="3" t="s">
        <v>97</v>
      </c>
      <c r="C36" s="4" t="s">
        <v>111</v>
      </c>
      <c r="D36" s="3" t="s">
        <v>78</v>
      </c>
      <c r="E36" s="5" t="n">
        <v>3</v>
      </c>
      <c r="F36" s="3" t="s">
        <v>36</v>
      </c>
      <c r="G36" s="3" t="s">
        <v>112</v>
      </c>
      <c r="H36" s="3" t="s">
        <v>34</v>
      </c>
    </row>
    <row r="37" customFormat="false" ht="15" hidden="false" customHeight="false" outlineLevel="0" collapsed="false">
      <c r="A37" s="3" t="s">
        <v>113</v>
      </c>
      <c r="B37" s="3" t="s">
        <v>114</v>
      </c>
      <c r="C37" s="4" t="s">
        <v>115</v>
      </c>
      <c r="D37" s="3" t="s">
        <v>116</v>
      </c>
      <c r="E37" s="5" t="n">
        <v>3</v>
      </c>
      <c r="F37" s="3" t="s">
        <v>23</v>
      </c>
      <c r="G37" s="3" t="s">
        <v>52</v>
      </c>
      <c r="H37" s="3" t="s">
        <v>14</v>
      </c>
    </row>
    <row r="38" customFormat="false" ht="15" hidden="false" customHeight="false" outlineLevel="0" collapsed="false">
      <c r="A38" s="3" t="s">
        <v>117</v>
      </c>
      <c r="B38" s="3" t="s">
        <v>114</v>
      </c>
      <c r="C38" s="4" t="s">
        <v>118</v>
      </c>
      <c r="D38" s="3" t="s">
        <v>116</v>
      </c>
      <c r="E38" s="5" t="n">
        <v>4</v>
      </c>
      <c r="F38" s="3" t="s">
        <v>119</v>
      </c>
      <c r="G38" s="3" t="s">
        <v>61</v>
      </c>
      <c r="H38" s="3" t="s">
        <v>14</v>
      </c>
    </row>
    <row r="39" customFormat="false" ht="15" hidden="false" customHeight="false" outlineLevel="0" collapsed="false">
      <c r="A39" s="3" t="s">
        <v>120</v>
      </c>
      <c r="B39" s="3" t="s">
        <v>114</v>
      </c>
      <c r="C39" s="4" t="s">
        <v>121</v>
      </c>
      <c r="D39" s="3" t="s">
        <v>116</v>
      </c>
      <c r="E39" s="5" t="n">
        <v>5</v>
      </c>
      <c r="F39" s="3" t="s">
        <v>70</v>
      </c>
      <c r="G39" s="3" t="s">
        <v>103</v>
      </c>
      <c r="H39" s="3" t="s">
        <v>14</v>
      </c>
    </row>
    <row r="40" customFormat="false" ht="15" hidden="false" customHeight="false" outlineLevel="0" collapsed="false">
      <c r="A40" s="3" t="s">
        <v>122</v>
      </c>
      <c r="B40" s="3" t="s">
        <v>114</v>
      </c>
      <c r="C40" s="4" t="s">
        <v>123</v>
      </c>
      <c r="D40" s="3" t="s">
        <v>116</v>
      </c>
      <c r="E40" s="5" t="n">
        <v>4</v>
      </c>
      <c r="F40" s="3" t="s">
        <v>53</v>
      </c>
      <c r="G40" s="3" t="s">
        <v>74</v>
      </c>
      <c r="H40" s="3" t="s">
        <v>14</v>
      </c>
    </row>
    <row r="41" customFormat="false" ht="15" hidden="false" customHeight="false" outlineLevel="0" collapsed="false">
      <c r="A41" s="3" t="s">
        <v>124</v>
      </c>
      <c r="B41" s="3" t="s">
        <v>114</v>
      </c>
      <c r="C41" s="4" t="s">
        <v>125</v>
      </c>
      <c r="D41" s="3" t="s">
        <v>116</v>
      </c>
      <c r="E41" s="5" t="n">
        <v>2</v>
      </c>
      <c r="F41" s="3" t="s">
        <v>36</v>
      </c>
      <c r="G41" s="3" t="s">
        <v>109</v>
      </c>
      <c r="H41" s="3" t="s">
        <v>34</v>
      </c>
    </row>
    <row r="42" customFormat="false" ht="15" hidden="false" customHeight="false" outlineLevel="0" collapsed="false">
      <c r="A42" s="3" t="s">
        <v>126</v>
      </c>
      <c r="B42" s="3" t="s">
        <v>114</v>
      </c>
      <c r="C42" s="4" t="s">
        <v>127</v>
      </c>
      <c r="D42" s="3" t="s">
        <v>116</v>
      </c>
      <c r="E42" s="5" t="n">
        <v>2</v>
      </c>
      <c r="F42" s="3" t="s">
        <v>36</v>
      </c>
      <c r="G42" s="3" t="s">
        <v>109</v>
      </c>
      <c r="H42" s="3" t="s">
        <v>34</v>
      </c>
    </row>
    <row r="43" customFormat="false" ht="15" hidden="false" customHeight="false" outlineLevel="0" collapsed="false">
      <c r="A43" s="3" t="s">
        <v>128</v>
      </c>
      <c r="B43" s="3" t="s">
        <v>129</v>
      </c>
      <c r="C43" s="4" t="s">
        <v>130</v>
      </c>
      <c r="D43" s="3" t="s">
        <v>11</v>
      </c>
      <c r="E43" s="5" t="n">
        <v>3</v>
      </c>
      <c r="F43" s="3" t="s">
        <v>65</v>
      </c>
      <c r="G43" s="3" t="s">
        <v>103</v>
      </c>
      <c r="H43" s="3" t="s">
        <v>14</v>
      </c>
    </row>
    <row r="44" customFormat="false" ht="15" hidden="false" customHeight="false" outlineLevel="0" collapsed="false">
      <c r="A44" s="3" t="s">
        <v>131</v>
      </c>
      <c r="B44" s="3" t="s">
        <v>129</v>
      </c>
      <c r="C44" s="4" t="s">
        <v>132</v>
      </c>
      <c r="D44" s="3" t="s">
        <v>11</v>
      </c>
      <c r="E44" s="5" t="n">
        <v>3</v>
      </c>
      <c r="F44" s="3" t="s">
        <v>22</v>
      </c>
      <c r="G44" s="3" t="s">
        <v>74</v>
      </c>
      <c r="H44" s="3" t="s">
        <v>34</v>
      </c>
    </row>
    <row r="45" customFormat="false" ht="15" hidden="false" customHeight="false" outlineLevel="0" collapsed="false">
      <c r="A45" s="3" t="s">
        <v>133</v>
      </c>
      <c r="B45" s="3" t="s">
        <v>91</v>
      </c>
      <c r="C45" s="4" t="s">
        <v>134</v>
      </c>
      <c r="D45" s="3" t="s">
        <v>11</v>
      </c>
      <c r="E45" s="5" t="n">
        <v>5</v>
      </c>
      <c r="F45" s="3" t="s">
        <v>65</v>
      </c>
      <c r="G45" s="3" t="s">
        <v>103</v>
      </c>
      <c r="H45" s="3" t="s">
        <v>14</v>
      </c>
    </row>
    <row r="46" customFormat="false" ht="15" hidden="false" customHeight="false" outlineLevel="0" collapsed="false">
      <c r="A46" s="3" t="s">
        <v>135</v>
      </c>
      <c r="B46" s="3" t="s">
        <v>136</v>
      </c>
      <c r="C46" s="4" t="s">
        <v>137</v>
      </c>
      <c r="D46" s="3" t="s">
        <v>11</v>
      </c>
      <c r="E46" s="5" t="n">
        <v>3</v>
      </c>
      <c r="F46" s="3" t="s">
        <v>43</v>
      </c>
      <c r="G46" s="3" t="s">
        <v>74</v>
      </c>
      <c r="H46" s="3" t="s">
        <v>14</v>
      </c>
    </row>
    <row r="47" customFormat="false" ht="15" hidden="false" customHeight="false" outlineLevel="0" collapsed="false">
      <c r="A47" s="3" t="s">
        <v>138</v>
      </c>
      <c r="B47" s="3" t="s">
        <v>136</v>
      </c>
      <c r="C47" s="4" t="s">
        <v>139</v>
      </c>
      <c r="D47" s="3" t="s">
        <v>11</v>
      </c>
      <c r="E47" s="5" t="n">
        <v>3</v>
      </c>
      <c r="F47" s="3" t="s">
        <v>135</v>
      </c>
      <c r="G47" s="3" t="s">
        <v>109</v>
      </c>
      <c r="H47" s="3" t="s">
        <v>34</v>
      </c>
    </row>
    <row r="48" customFormat="false" ht="15" hidden="false" customHeight="false" outlineLevel="0" collapsed="false">
      <c r="A48" s="3" t="s">
        <v>140</v>
      </c>
      <c r="B48" s="3" t="s">
        <v>141</v>
      </c>
      <c r="C48" s="4" t="s">
        <v>142</v>
      </c>
      <c r="D48" s="3" t="s">
        <v>143</v>
      </c>
      <c r="E48" s="5" t="n">
        <v>5</v>
      </c>
      <c r="F48" s="3" t="s">
        <v>144</v>
      </c>
      <c r="G48" s="3" t="s">
        <v>112</v>
      </c>
      <c r="H48" s="3" t="s">
        <v>14</v>
      </c>
    </row>
    <row r="49" customFormat="false" ht="15" hidden="false" customHeight="false" outlineLevel="0" collapsed="false">
      <c r="A49" s="3" t="s">
        <v>145</v>
      </c>
      <c r="B49" s="3" t="s">
        <v>141</v>
      </c>
      <c r="C49" s="4" t="s">
        <v>146</v>
      </c>
      <c r="D49" s="3" t="s">
        <v>143</v>
      </c>
      <c r="E49" s="5" t="n">
        <v>3</v>
      </c>
      <c r="F49" s="3" t="s">
        <v>140</v>
      </c>
      <c r="G49" s="3" t="s">
        <v>147</v>
      </c>
      <c r="H49" s="3" t="s">
        <v>14</v>
      </c>
    </row>
    <row r="50" customFormat="false" ht="15" hidden="false" customHeight="false" outlineLevel="0" collapsed="false">
      <c r="A50" s="3" t="s">
        <v>148</v>
      </c>
      <c r="B50" s="3" t="s">
        <v>141</v>
      </c>
      <c r="C50" s="4" t="s">
        <v>149</v>
      </c>
      <c r="D50" s="3" t="s">
        <v>143</v>
      </c>
      <c r="E50" s="5" t="n">
        <v>4</v>
      </c>
      <c r="F50" s="3" t="s">
        <v>145</v>
      </c>
      <c r="G50" s="3" t="s">
        <v>150</v>
      </c>
      <c r="H50" s="3" t="s">
        <v>14</v>
      </c>
    </row>
    <row r="51" customFormat="false" ht="15" hidden="false" customHeight="false" outlineLevel="0" collapsed="false">
      <c r="D51" s="6" t="s">
        <v>151</v>
      </c>
      <c r="E51" s="7" t="n">
        <f aca="false">SUM(E2:E50)</f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1</v>
      </c>
      <c r="B1" s="1" t="s">
        <v>152</v>
      </c>
      <c r="C1" s="1" t="s">
        <v>153</v>
      </c>
      <c r="D1" s="1" t="s">
        <v>154</v>
      </c>
    </row>
    <row r="2" customFormat="false" ht="15" hidden="false" customHeight="false" outlineLevel="0" collapsed="false">
      <c r="A2" s="8" t="s">
        <v>9</v>
      </c>
      <c r="B2" s="8" t="s">
        <v>155</v>
      </c>
      <c r="C2" s="9" t="n">
        <f aca="false">SUMIF(Backlog!B:B,A2,Backlog!E:E)</f>
        <v>8</v>
      </c>
      <c r="D2" s="10" t="n">
        <f aca="false">C2/$C$14</f>
        <v>0.0516129032258065</v>
      </c>
    </row>
    <row r="3" customFormat="false" ht="15" hidden="false" customHeight="false" outlineLevel="0" collapsed="false">
      <c r="A3" s="8" t="s">
        <v>23</v>
      </c>
      <c r="B3" s="8" t="s">
        <v>156</v>
      </c>
      <c r="C3" s="9" t="n">
        <f aca="false">SUMIF(Backlog!B:B,A3,Backlog!E:E)</f>
        <v>10</v>
      </c>
      <c r="D3" s="10" t="n">
        <f aca="false">C3/$C$14</f>
        <v>0.0645161290322581</v>
      </c>
    </row>
    <row r="4" customFormat="false" ht="15" hidden="false" customHeight="false" outlineLevel="0" collapsed="false">
      <c r="A4" s="8" t="s">
        <v>36</v>
      </c>
      <c r="B4" s="8" t="s">
        <v>157</v>
      </c>
      <c r="C4" s="9" t="n">
        <f aca="false">SUMIF(Backlog!B:B,A4,Backlog!E:E)</f>
        <v>14</v>
      </c>
      <c r="D4" s="10" t="n">
        <f aca="false">C4/$C$14</f>
        <v>0.0903225806451613</v>
      </c>
    </row>
    <row r="5" customFormat="false" ht="15" hidden="false" customHeight="false" outlineLevel="0" collapsed="false">
      <c r="A5" s="8" t="s">
        <v>49</v>
      </c>
      <c r="B5" s="8" t="s">
        <v>158</v>
      </c>
      <c r="C5" s="9" t="n">
        <f aca="false">SUMIF(Backlog!B:B,A5,Backlog!E:E)</f>
        <v>15</v>
      </c>
      <c r="D5" s="10" t="n">
        <f aca="false">C5/$C$14</f>
        <v>0.0967741935483871</v>
      </c>
    </row>
    <row r="6" customFormat="false" ht="15" hidden="false" customHeight="false" outlineLevel="0" collapsed="false">
      <c r="A6" s="8" t="s">
        <v>66</v>
      </c>
      <c r="B6" s="8" t="s">
        <v>159</v>
      </c>
      <c r="C6" s="9" t="n">
        <f aca="false">SUMIF(Backlog!B:B,A6,Backlog!E:E)</f>
        <v>12</v>
      </c>
      <c r="D6" s="10" t="n">
        <f aca="false">C6/$C$14</f>
        <v>0.0774193548387097</v>
      </c>
    </row>
    <row r="7" customFormat="false" ht="15" hidden="false" customHeight="false" outlineLevel="0" collapsed="false">
      <c r="A7" s="8" t="s">
        <v>76</v>
      </c>
      <c r="B7" s="8" t="s">
        <v>160</v>
      </c>
      <c r="C7" s="9" t="n">
        <f aca="false">SUMIF(Backlog!B:B,A7,Backlog!E:E)</f>
        <v>25</v>
      </c>
      <c r="D7" s="10" t="n">
        <f aca="false">C7/$C$14</f>
        <v>0.161290322580645</v>
      </c>
    </row>
    <row r="8" customFormat="false" ht="15" hidden="false" customHeight="false" outlineLevel="0" collapsed="false">
      <c r="A8" s="8" t="s">
        <v>97</v>
      </c>
      <c r="B8" s="8" t="s">
        <v>161</v>
      </c>
      <c r="C8" s="9" t="n">
        <f aca="false">SUMIF(Backlog!B:B,A8,Backlog!E:E)</f>
        <v>22</v>
      </c>
      <c r="D8" s="10" t="n">
        <f aca="false">C8/$C$14</f>
        <v>0.141935483870968</v>
      </c>
    </row>
    <row r="9" customFormat="false" ht="15" hidden="false" customHeight="false" outlineLevel="0" collapsed="false">
      <c r="A9" s="8" t="s">
        <v>114</v>
      </c>
      <c r="B9" s="8" t="s">
        <v>162</v>
      </c>
      <c r="C9" s="9" t="n">
        <f aca="false">SUMIF(Backlog!B:B,A9,Backlog!E:E)</f>
        <v>20</v>
      </c>
      <c r="D9" s="10" t="n">
        <f aca="false">C9/$C$14</f>
        <v>0.129032258064516</v>
      </c>
    </row>
    <row r="10" customFormat="false" ht="15" hidden="false" customHeight="false" outlineLevel="0" collapsed="false">
      <c r="A10" s="8" t="s">
        <v>129</v>
      </c>
      <c r="B10" s="8" t="s">
        <v>163</v>
      </c>
      <c r="C10" s="9" t="n">
        <f aca="false">SUMIF(Backlog!B:B,A10,Backlog!E:E)</f>
        <v>6</v>
      </c>
      <c r="D10" s="10" t="n">
        <f aca="false">C10/$C$14</f>
        <v>0.0387096774193548</v>
      </c>
    </row>
    <row r="11" customFormat="false" ht="15" hidden="false" customHeight="false" outlineLevel="0" collapsed="false">
      <c r="A11" s="8" t="s">
        <v>91</v>
      </c>
      <c r="B11" s="8" t="s">
        <v>164</v>
      </c>
      <c r="C11" s="9" t="n">
        <f aca="false">SUMIF(Backlog!B:B,A11,Backlog!E:E)</f>
        <v>5</v>
      </c>
      <c r="D11" s="10" t="n">
        <f aca="false">C11/$C$14</f>
        <v>0.032258064516129</v>
      </c>
    </row>
    <row r="12" customFormat="false" ht="15" hidden="false" customHeight="false" outlineLevel="0" collapsed="false">
      <c r="A12" s="8" t="s">
        <v>136</v>
      </c>
      <c r="B12" s="8" t="s">
        <v>165</v>
      </c>
      <c r="C12" s="9" t="n">
        <f aca="false">SUMIF(Backlog!B:B,A12,Backlog!E:E)</f>
        <v>6</v>
      </c>
      <c r="D12" s="10" t="n">
        <f aca="false">C12/$C$14</f>
        <v>0.0387096774193548</v>
      </c>
    </row>
    <row r="13" customFormat="false" ht="15" hidden="false" customHeight="false" outlineLevel="0" collapsed="false">
      <c r="A13" s="8" t="s">
        <v>141</v>
      </c>
      <c r="B13" s="8" t="s">
        <v>166</v>
      </c>
      <c r="C13" s="9" t="n">
        <f aca="false">SUMIF(Backlog!B:B,A13,Backlog!E:E)</f>
        <v>12</v>
      </c>
      <c r="D13" s="10" t="n">
        <f aca="false">C13/$C$14</f>
        <v>0.0774193548387097</v>
      </c>
    </row>
    <row r="14" customFormat="false" ht="15" hidden="false" customHeight="false" outlineLevel="0" collapsed="false">
      <c r="B14" s="11" t="s">
        <v>167</v>
      </c>
      <c r="C14" s="7" t="n">
        <f aca="false">SUM(C2:C13)</f>
        <v>155</v>
      </c>
    </row>
    <row r="15" customFormat="false" ht="15" hidden="false" customHeight="false" outlineLevel="0" collapsed="false">
      <c r="B15" s="8" t="s">
        <v>168</v>
      </c>
      <c r="C15" s="9" t="n">
        <f aca="false">C14*0.25</f>
        <v>38.75</v>
      </c>
    </row>
    <row r="16" customFormat="false" ht="15" hidden="false" customHeight="false" outlineLevel="0" collapsed="false">
      <c r="B16" s="11" t="s">
        <v>169</v>
      </c>
      <c r="C16" s="7" t="n">
        <f aca="false">C14+C15</f>
        <v>193.75</v>
      </c>
    </row>
    <row r="18" customFormat="false" ht="15" hidden="false" customHeight="false" outlineLevel="0" collapsed="false">
      <c r="A18" s="12" t="s">
        <v>170</v>
      </c>
    </row>
    <row r="19" customFormat="false" ht="15" hidden="false" customHeight="false" outlineLevel="0" collapsed="false">
      <c r="A19" s="12" t="s">
        <v>171</v>
      </c>
    </row>
    <row r="20" customFormat="false" ht="15" hidden="false" customHeight="false" outlineLevel="0" collapsed="false">
      <c r="A20" s="12" t="s">
        <v>172</v>
      </c>
    </row>
    <row r="21" customFormat="false" ht="15" hidden="false" customHeight="false" outlineLevel="0" collapsed="false">
      <c r="A21" s="1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2026-06-26T15:24:39Z</dcterms:created>
  <dc:creator>openpyxl</dc:creator>
  <dc:description/>
  <dc:language>en-US</dc:language>
  <cp:lastModifiedBy/>
  <dcterms:modified xsi:type="dcterms:W3CDTF">2026-06-26T15:24:39Z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